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fius-my.sharepoint.com/personal/vic_stumpf_belfius_be/Documents/Documents/DOCUMENTEN/"/>
    </mc:Choice>
  </mc:AlternateContent>
  <xr:revisionPtr revIDLastSave="1356" documentId="8_{3D655B94-593F-4305-80F6-7E6D6D3A4AD2}" xr6:coauthVersionLast="47" xr6:coauthVersionMax="47" xr10:uidLastSave="{03180D44-E61C-4203-BD81-AEE6645E5257}"/>
  <bookViews>
    <workbookView xWindow="-120" yWindow="-120" windowWidth="29040" windowHeight="15840" xr2:uid="{08DFCEFF-10A4-4667-BC43-025548D934ED}"/>
  </bookViews>
  <sheets>
    <sheet name="Opportuniteitskost lenen" sheetId="4" r:id="rId1"/>
    <sheet name="FIRE Calculat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3" l="1"/>
  <c r="E16" i="3"/>
  <c r="B15" i="4"/>
  <c r="B14" i="4"/>
  <c r="B13" i="4"/>
  <c r="B12" i="4"/>
  <c r="B31" i="4"/>
  <c r="B8" i="4"/>
  <c r="B32" i="4" s="1"/>
  <c r="B30" i="4"/>
  <c r="B7" i="4"/>
  <c r="F19" i="3" l="1"/>
  <c r="F22" i="3" s="1"/>
  <c r="AG10" i="3"/>
  <c r="B39" i="4"/>
  <c r="B38" i="4"/>
  <c r="B37" i="4"/>
  <c r="B33" i="4"/>
  <c r="B36" i="4" s="1"/>
  <c r="C13" i="4"/>
  <c r="D13" i="4" s="1"/>
  <c r="C14" i="4"/>
  <c r="D14" i="4" s="1"/>
  <c r="C15" i="4"/>
  <c r="D15" i="4" s="1"/>
  <c r="C37" i="4" l="1"/>
  <c r="D37" i="4" s="1"/>
  <c r="C38" i="4"/>
  <c r="D38" i="4" s="1"/>
  <c r="C39" i="4"/>
  <c r="D39" i="4" s="1"/>
</calcChain>
</file>

<file path=xl/sharedStrings.xml><?xml version="1.0" encoding="utf-8"?>
<sst xmlns="http://schemas.openxmlformats.org/spreadsheetml/2006/main" count="44" uniqueCount="34">
  <si>
    <t>Jaarlijks verwacht rendement</t>
  </si>
  <si>
    <t>Maandelijkse bijdrage</t>
  </si>
  <si>
    <t>Maandelijks netto inkomen in jaar 'X'</t>
  </si>
  <si>
    <r>
      <rPr>
        <i/>
        <sz val="10"/>
        <color rgb="FF999999"/>
        <rFont val="Lato"/>
      </rPr>
      <t xml:space="preserve">Aan </t>
    </r>
    <r>
      <rPr>
        <b/>
        <i/>
        <sz val="10"/>
        <color rgb="FFE06666"/>
        <rFont val="Lato"/>
      </rPr>
      <t>3%</t>
    </r>
    <r>
      <rPr>
        <b/>
        <i/>
        <sz val="10"/>
        <color rgb="FF999999"/>
        <rFont val="Lato"/>
      </rPr>
      <t xml:space="preserve"> </t>
    </r>
    <r>
      <rPr>
        <b/>
        <i/>
        <sz val="10"/>
        <color rgb="FFE06666"/>
        <rFont val="Lato"/>
      </rPr>
      <t>withdrawal ratio</t>
    </r>
    <r>
      <rPr>
        <i/>
        <sz val="10"/>
        <color rgb="FF999999"/>
        <rFont val="Lato"/>
      </rPr>
      <t xml:space="preserve"> + 1,32% beurskapitalisatie </t>
    </r>
  </si>
  <si>
    <t>Maandelijks netto inkomen in jaar 'X' (berekend met inflatie)</t>
  </si>
  <si>
    <t>Aangepast volgens 2% inflatie</t>
  </si>
  <si>
    <t>Scenario 1</t>
  </si>
  <si>
    <t>Scenario 2</t>
  </si>
  <si>
    <t>Startkapitaal</t>
  </si>
  <si>
    <t>Rendement</t>
  </si>
  <si>
    <t>Constante terugbetaling</t>
  </si>
  <si>
    <t>Bulletkrediet</t>
  </si>
  <si>
    <t>Kredietbedrag</t>
  </si>
  <si>
    <t>Intrest</t>
  </si>
  <si>
    <t>Looptijd in jaren</t>
  </si>
  <si>
    <t>Totale intresten</t>
  </si>
  <si>
    <t>Maandelijkse aflossing</t>
  </si>
  <si>
    <t>Maandelijks verschil t.o.v. 'gewoon' krediet</t>
  </si>
  <si>
    <t>Totaal extra kapitaal om te beleggen over de looptijd</t>
  </si>
  <si>
    <t>Instapkosten</t>
  </si>
  <si>
    <t>Netto</t>
  </si>
  <si>
    <t>Startkapitaal + maandelijks verschil beleggen</t>
  </si>
  <si>
    <r>
      <t xml:space="preserve">(Alleen de cellen in het </t>
    </r>
    <r>
      <rPr>
        <b/>
        <sz val="10"/>
        <rFont val="Lato"/>
        <family val="2"/>
      </rPr>
      <t>blauw</t>
    </r>
    <r>
      <rPr>
        <sz val="10"/>
        <rFont val="Lato"/>
        <family val="2"/>
      </rPr>
      <t xml:space="preserve"> mogen gewijzigd worden)</t>
    </r>
  </si>
  <si>
    <t>Eindkapitaal</t>
  </si>
  <si>
    <r>
      <t xml:space="preserve">Pessimistisch scenario: </t>
    </r>
    <r>
      <rPr>
        <b/>
        <sz val="10"/>
        <color rgb="FF000000"/>
        <rFont val="Lato"/>
        <family val="2"/>
      </rPr>
      <t>2%</t>
    </r>
    <r>
      <rPr>
        <sz val="10"/>
        <color rgb="FF000000"/>
        <rFont val="Lato"/>
        <family val="2"/>
      </rPr>
      <t xml:space="preserve"> </t>
    </r>
  </si>
  <si>
    <r>
      <t xml:space="preserve">Neutraal scenario: </t>
    </r>
    <r>
      <rPr>
        <b/>
        <sz val="10"/>
        <color rgb="FF000000"/>
        <rFont val="Lato"/>
        <family val="2"/>
      </rPr>
      <t>5%</t>
    </r>
    <r>
      <rPr>
        <sz val="10"/>
        <color rgb="FF000000"/>
        <rFont val="Lato"/>
        <family val="2"/>
      </rPr>
      <t xml:space="preserve"> </t>
    </r>
  </si>
  <si>
    <r>
      <t xml:space="preserve">Positief scenario: </t>
    </r>
    <r>
      <rPr>
        <b/>
        <sz val="10"/>
        <color rgb="FF000000"/>
        <rFont val="Lato"/>
        <family val="2"/>
      </rPr>
      <t>7%</t>
    </r>
  </si>
  <si>
    <r>
      <rPr>
        <sz val="10"/>
        <color theme="1"/>
        <rFont val="Lato"/>
        <family val="2"/>
      </rPr>
      <t>Pessimistisch scenario:</t>
    </r>
    <r>
      <rPr>
        <b/>
        <sz val="10"/>
        <color theme="1"/>
        <rFont val="Lato"/>
        <family val="2"/>
      </rPr>
      <t xml:space="preserve"> 2% </t>
    </r>
  </si>
  <si>
    <r>
      <rPr>
        <sz val="10"/>
        <color theme="1"/>
        <rFont val="Lato"/>
        <family val="2"/>
      </rPr>
      <t xml:space="preserve">Neutraal scenario: </t>
    </r>
    <r>
      <rPr>
        <b/>
        <sz val="10"/>
        <color theme="1"/>
        <rFont val="Lato"/>
        <family val="2"/>
      </rPr>
      <t xml:space="preserve">5% </t>
    </r>
  </si>
  <si>
    <r>
      <rPr>
        <sz val="10"/>
        <color theme="1"/>
        <rFont val="Lato"/>
        <family val="2"/>
      </rPr>
      <t>Positief scenario:</t>
    </r>
    <r>
      <rPr>
        <b/>
        <sz val="10"/>
        <color theme="1"/>
        <rFont val="Lato"/>
        <family val="2"/>
      </rPr>
      <t xml:space="preserve"> 7% </t>
    </r>
  </si>
  <si>
    <t>Geïnvesteerd kapitaal</t>
  </si>
  <si>
    <t>Behaald rendement</t>
  </si>
  <si>
    <t>FIRE calculator</t>
  </si>
  <si>
    <t>Beleggingshorizon (aantal jaren)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</si>
</sst>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164" formatCode="0.0%"/>
    <numFmt numFmtId="165" formatCode="mm/yyyy"/>
    <numFmt numFmtId="166" formatCode="[$€-2]\ #,##0.00"/>
    <numFmt numFmtId="167" formatCode="[$$]#,##0"/>
    <numFmt numFmtId="168" formatCode="[$€-2]\ #,##0"/>
    <numFmt numFmtId="169" formatCode="_-* #,##0\ &quot;€&quot;_-;\-* #,##0\ &quot;€&quot;_-;_-* &quot;-&quot;??\ &quot;€&quot;_-;_-@_-"/>
    <numFmt numFmtId="170" formatCode="_-* #,##0\ [$€-813]_-;\-* #,##0\ [$€-813]_-;_-* &quot;-&quot;??\ [$€-813]_-;_-@_-"/>
    <numFmt numFmtId="171" formatCode="&quot;€&quot;#,##0.00"/>
    <numFmt numFmtId="172" formatCode="#,##0.00\ &quot;€&quot;"/>
    <numFmt numFmtId="173" formatCode="&quot;€&quot;#,##0"/>
    <numFmt numFmtId="174" formatCode="#,##0\ &quot;€&quot;"/>
  </numFmts>
  <fonts count="3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Lato"/>
    </font>
    <font>
      <sz val="10"/>
      <color theme="1"/>
      <name val="Roboto"/>
    </font>
    <font>
      <b/>
      <sz val="18"/>
      <color theme="1"/>
      <name val="Lato"/>
    </font>
    <font>
      <sz val="10"/>
      <name val="Arial"/>
      <family val="2"/>
    </font>
    <font>
      <sz val="10"/>
      <color rgb="FF666666"/>
      <name val="Roboto"/>
    </font>
    <font>
      <b/>
      <sz val="12"/>
      <color theme="1"/>
      <name val="Lato"/>
    </font>
    <font>
      <sz val="12"/>
      <color theme="1"/>
      <name val="Lato"/>
    </font>
    <font>
      <i/>
      <sz val="10"/>
      <color rgb="FF999999"/>
      <name val="Lato"/>
    </font>
    <font>
      <sz val="10"/>
      <color theme="1"/>
      <name val="Arial"/>
      <family val="2"/>
    </font>
    <font>
      <b/>
      <i/>
      <sz val="10"/>
      <color rgb="FFE06666"/>
      <name val="Lato"/>
    </font>
    <font>
      <b/>
      <i/>
      <sz val="10"/>
      <color rgb="FF999999"/>
      <name val="Lato"/>
    </font>
    <font>
      <sz val="9"/>
      <color rgb="FF000000"/>
      <name val="Belfius21"/>
    </font>
    <font>
      <sz val="10"/>
      <color rgb="FF000000"/>
      <name val="Aptos Narrow"/>
      <family val="2"/>
      <scheme val="minor"/>
    </font>
    <font>
      <b/>
      <sz val="9"/>
      <color rgb="FF000000"/>
      <name val="Belfius21"/>
    </font>
    <font>
      <b/>
      <sz val="10"/>
      <color rgb="FF000000"/>
      <name val="Aptos Narrow"/>
      <family val="2"/>
      <scheme val="minor"/>
    </font>
    <font>
      <b/>
      <sz val="18"/>
      <color theme="1"/>
      <name val="Lato"/>
      <family val="2"/>
    </font>
    <font>
      <sz val="9"/>
      <color rgb="FF000000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sz val="11"/>
      <color theme="1"/>
      <name val="Lato"/>
      <family val="2"/>
    </font>
    <font>
      <sz val="10"/>
      <color rgb="FF000000"/>
      <name val="Lato"/>
      <family val="2"/>
    </font>
    <font>
      <b/>
      <sz val="9"/>
      <color rgb="FF000000"/>
      <name val="Lato"/>
      <family val="2"/>
    </font>
    <font>
      <sz val="10"/>
      <name val="Lato"/>
      <family val="2"/>
    </font>
    <font>
      <b/>
      <sz val="10"/>
      <name val="Lato"/>
      <family val="2"/>
    </font>
    <font>
      <sz val="10"/>
      <color theme="1"/>
      <name val="Lato"/>
      <family val="2"/>
    </font>
    <font>
      <b/>
      <sz val="10"/>
      <color theme="1"/>
      <name val="Lato"/>
      <family val="2"/>
    </font>
    <font>
      <sz val="10"/>
      <color rgb="FFFF0000"/>
      <name val="Lato"/>
      <family val="2"/>
    </font>
    <font>
      <b/>
      <sz val="10"/>
      <color rgb="FF000000"/>
      <name val="Lato"/>
      <family val="2"/>
    </font>
    <font>
      <b/>
      <sz val="10"/>
      <color rgb="FFFF0000"/>
      <name val="Lato"/>
      <family val="2"/>
    </font>
    <font>
      <b/>
      <sz val="10"/>
      <name val="Arial"/>
      <family val="2"/>
    </font>
    <font>
      <b/>
      <sz val="12"/>
      <color theme="1"/>
      <name val="Lato"/>
      <family val="2"/>
    </font>
    <font>
      <b/>
      <sz val="12"/>
      <color theme="0"/>
      <name val="Lato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7" tint="0.79998168889431442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EF2CD"/>
        <bgColor indexed="64"/>
      </patternFill>
    </fill>
    <fill>
      <patternFill patternType="solid">
        <fgColor rgb="FFFFE599"/>
        <bgColor rgb="FFFFF2CC"/>
      </patternFill>
    </fill>
    <fill>
      <patternFill patternType="solid">
        <fgColor rgb="FFD9E7FD"/>
        <bgColor indexed="64"/>
      </patternFill>
    </fill>
    <fill>
      <patternFill patternType="solid">
        <fgColor rgb="FFFBDAD7"/>
        <bgColor rgb="FFF4CCCC"/>
      </patternFill>
    </fill>
    <fill>
      <patternFill patternType="solid">
        <fgColor rgb="FFFFE1CC"/>
        <bgColor rgb="FFFCE5CD"/>
      </patternFill>
    </fill>
    <fill>
      <patternFill patternType="solid">
        <fgColor rgb="FFFFE1CC"/>
        <bgColor rgb="FFF4CCCC"/>
      </patternFill>
    </fill>
    <fill>
      <patternFill patternType="solid">
        <fgColor rgb="FFD1F1DA"/>
        <bgColor rgb="FFD9EAD3"/>
      </patternFill>
    </fill>
    <fill>
      <patternFill patternType="solid">
        <fgColor rgb="FFD1F1DA"/>
        <bgColor rgb="FFF4CCCC"/>
      </patternFill>
    </fill>
    <fill>
      <patternFill patternType="solid">
        <fgColor rgb="FFD9E7FD"/>
        <bgColor rgb="FFD9EAD3"/>
      </patternFill>
    </fill>
    <fill>
      <patternFill patternType="solid">
        <fgColor rgb="FFFFE599"/>
        <bgColor rgb="FFFCE5CD"/>
      </patternFill>
    </fill>
    <fill>
      <patternFill patternType="solid">
        <fgColor rgb="FFFFE599"/>
        <bgColor indexed="64"/>
      </patternFill>
    </fill>
    <fill>
      <patternFill patternType="solid">
        <fgColor rgb="FFFEF2CD"/>
        <bgColor rgb="FFFFF2CC"/>
      </patternFill>
    </fill>
    <fill>
      <patternFill patternType="solid">
        <fgColor theme="8" tint="-0.249977111117893"/>
        <bgColor rgb="FFFFE599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4" fillId="0" borderId="0" applyFont="0" applyFill="0" applyBorder="0" applyAlignment="0" applyProtection="0"/>
  </cellStyleXfs>
  <cellXfs count="180">
    <xf numFmtId="0" fontId="0" fillId="0" borderId="0" xfId="0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0" borderId="0" xfId="1"/>
    <xf numFmtId="0" fontId="3" fillId="0" borderId="0" xfId="1" applyFont="1"/>
    <xf numFmtId="0" fontId="2" fillId="0" borderId="6" xfId="1" applyFont="1" applyBorder="1"/>
    <xf numFmtId="49" fontId="6" fillId="0" borderId="0" xfId="1" applyNumberFormat="1" applyFont="1" applyAlignment="1">
      <alignment horizontal="center" vertical="center"/>
    </xf>
    <xf numFmtId="0" fontId="4" fillId="0" borderId="0" xfId="1" applyFont="1"/>
    <xf numFmtId="0" fontId="2" fillId="0" borderId="6" xfId="1" applyFont="1" applyBorder="1" applyAlignment="1">
      <alignment horizontal="left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left"/>
    </xf>
    <xf numFmtId="0" fontId="2" fillId="4" borderId="12" xfId="1" applyFont="1" applyFill="1" applyBorder="1"/>
    <xf numFmtId="0" fontId="2" fillId="4" borderId="15" xfId="1" applyFont="1" applyFill="1" applyBorder="1"/>
    <xf numFmtId="0" fontId="2" fillId="0" borderId="0" xfId="1" applyFont="1" applyAlignment="1">
      <alignment horizontal="center"/>
    </xf>
    <xf numFmtId="0" fontId="10" fillId="0" borderId="0" xfId="1" applyFont="1"/>
    <xf numFmtId="165" fontId="10" fillId="0" borderId="0" xfId="1" applyNumberFormat="1" applyFont="1"/>
    <xf numFmtId="166" fontId="10" fillId="0" borderId="0" xfId="1" applyNumberFormat="1" applyFont="1"/>
    <xf numFmtId="49" fontId="10" fillId="0" borderId="0" xfId="1" applyNumberFormat="1" applyFont="1"/>
    <xf numFmtId="0" fontId="3" fillId="0" borderId="0" xfId="1" applyFont="1" applyAlignment="1">
      <alignment horizontal="center" vertical="center"/>
    </xf>
    <xf numFmtId="0" fontId="7" fillId="4" borderId="11" xfId="1" applyFont="1" applyFill="1" applyBorder="1"/>
    <xf numFmtId="0" fontId="8" fillId="4" borderId="12" xfId="1" applyFont="1" applyFill="1" applyBorder="1"/>
    <xf numFmtId="0" fontId="8" fillId="4" borderId="13" xfId="1" applyFont="1" applyFill="1" applyBorder="1" applyAlignment="1">
      <alignment horizontal="center"/>
    </xf>
    <xf numFmtId="0" fontId="9" fillId="4" borderId="14" xfId="1" applyFont="1" applyFill="1" applyBorder="1"/>
    <xf numFmtId="0" fontId="2" fillId="4" borderId="16" xfId="1" applyFont="1" applyFill="1" applyBorder="1" applyAlignment="1">
      <alignment horizontal="center"/>
    </xf>
    <xf numFmtId="0" fontId="9" fillId="4" borderId="14" xfId="1" applyFont="1" applyFill="1" applyBorder="1" applyAlignment="1">
      <alignment horizontal="left"/>
    </xf>
    <xf numFmtId="0" fontId="2" fillId="0" borderId="19" xfId="1" applyFont="1" applyBorder="1"/>
    <xf numFmtId="0" fontId="2" fillId="0" borderId="20" xfId="1" applyFont="1" applyBorder="1"/>
    <xf numFmtId="165" fontId="2" fillId="0" borderId="0" xfId="1" applyNumberFormat="1" applyFont="1"/>
    <xf numFmtId="0" fontId="13" fillId="7" borderId="0" xfId="1" applyFont="1" applyFill="1" applyProtection="1">
      <protection locked="0"/>
    </xf>
    <xf numFmtId="0" fontId="1" fillId="7" borderId="0" xfId="1" applyFill="1" applyProtection="1">
      <protection locked="0"/>
    </xf>
    <xf numFmtId="169" fontId="0" fillId="7" borderId="0" xfId="2" applyNumberFormat="1" applyFont="1" applyFill="1" applyBorder="1" applyAlignment="1" applyProtection="1">
      <protection locked="0"/>
    </xf>
    <xf numFmtId="170" fontId="1" fillId="7" borderId="0" xfId="1" applyNumberFormat="1" applyFill="1" applyProtection="1">
      <protection locked="0"/>
    </xf>
    <xf numFmtId="0" fontId="1" fillId="7" borderId="0" xfId="1" applyFill="1"/>
    <xf numFmtId="0" fontId="15" fillId="7" borderId="0" xfId="1" applyFont="1" applyFill="1" applyProtection="1">
      <protection locked="0"/>
    </xf>
    <xf numFmtId="169" fontId="13" fillId="7" borderId="0" xfId="2" applyNumberFormat="1" applyFont="1" applyFill="1" applyBorder="1" applyAlignment="1" applyProtection="1">
      <protection locked="0"/>
    </xf>
    <xf numFmtId="9" fontId="13" fillId="7" borderId="0" xfId="1" applyNumberFormat="1" applyFont="1" applyFill="1" applyProtection="1">
      <protection locked="0"/>
    </xf>
    <xf numFmtId="170" fontId="13" fillId="7" borderId="0" xfId="1" applyNumberFormat="1" applyFont="1" applyFill="1" applyProtection="1">
      <protection locked="0"/>
    </xf>
    <xf numFmtId="0" fontId="16" fillId="0" borderId="0" xfId="1" applyFont="1" applyProtection="1">
      <protection locked="0"/>
    </xf>
    <xf numFmtId="0" fontId="1" fillId="0" borderId="0" xfId="1" applyProtection="1">
      <protection locked="0"/>
    </xf>
    <xf numFmtId="0" fontId="15" fillId="7" borderId="0" xfId="1" applyFont="1" applyFill="1"/>
    <xf numFmtId="9" fontId="13" fillId="7" borderId="0" xfId="1" applyNumberFormat="1" applyFont="1" applyFill="1"/>
    <xf numFmtId="170" fontId="13" fillId="7" borderId="0" xfId="1" applyNumberFormat="1" applyFont="1" applyFill="1"/>
    <xf numFmtId="0" fontId="13" fillId="7" borderId="0" xfId="1" applyFont="1" applyFill="1"/>
    <xf numFmtId="0" fontId="16" fillId="0" borderId="0" xfId="1" applyFont="1"/>
    <xf numFmtId="170" fontId="1" fillId="7" borderId="0" xfId="1" applyNumberFormat="1" applyFill="1"/>
    <xf numFmtId="169" fontId="0" fillId="0" borderId="0" xfId="2" applyNumberFormat="1" applyFont="1" applyAlignment="1"/>
    <xf numFmtId="170" fontId="1" fillId="0" borderId="0" xfId="1" applyNumberFormat="1"/>
    <xf numFmtId="0" fontId="19" fillId="7" borderId="0" xfId="0" applyFont="1" applyFill="1" applyProtection="1">
      <protection locked="0"/>
    </xf>
    <xf numFmtId="0" fontId="18" fillId="7" borderId="0" xfId="0" applyFont="1" applyFill="1" applyProtection="1">
      <protection locked="0"/>
    </xf>
    <xf numFmtId="0" fontId="22" fillId="7" borderId="0" xfId="1" applyFont="1" applyFill="1" applyProtection="1"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0" fontId="19" fillId="7" borderId="0" xfId="0" applyFont="1" applyFill="1" applyAlignment="1" applyProtection="1">
      <alignment horizontal="center" vertical="center"/>
      <protection locked="0"/>
    </xf>
    <xf numFmtId="0" fontId="20" fillId="7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 vertical="center"/>
      <protection locked="0"/>
    </xf>
    <xf numFmtId="0" fontId="21" fillId="7" borderId="0" xfId="0" applyFont="1" applyFill="1" applyProtection="1">
      <protection locked="0"/>
    </xf>
    <xf numFmtId="0" fontId="23" fillId="7" borderId="0" xfId="1" applyFont="1" applyFill="1" applyProtection="1">
      <protection locked="0"/>
    </xf>
    <xf numFmtId="0" fontId="1" fillId="0" borderId="0" xfId="1"/>
    <xf numFmtId="0" fontId="19" fillId="7" borderId="0" xfId="0" applyFont="1" applyFill="1" applyBorder="1" applyProtection="1">
      <protection locked="0"/>
    </xf>
    <xf numFmtId="0" fontId="26" fillId="7" borderId="22" xfId="0" applyFont="1" applyFill="1" applyBorder="1" applyAlignment="1" applyProtection="1">
      <alignment horizontal="center" vertical="center"/>
      <protection locked="0"/>
    </xf>
    <xf numFmtId="0" fontId="26" fillId="7" borderId="23" xfId="0" applyFont="1" applyFill="1" applyBorder="1" applyAlignment="1" applyProtection="1">
      <alignment horizontal="center" vertical="center"/>
      <protection locked="0"/>
    </xf>
    <xf numFmtId="0" fontId="22" fillId="7" borderId="0" xfId="0" applyFont="1" applyFill="1" applyAlignment="1" applyProtection="1">
      <alignment horizontal="center" vertical="center"/>
      <protection locked="0"/>
    </xf>
    <xf numFmtId="0" fontId="26" fillId="7" borderId="27" xfId="0" applyFont="1" applyFill="1" applyBorder="1" applyAlignment="1" applyProtection="1">
      <alignment horizontal="center" vertical="center"/>
      <protection locked="0"/>
    </xf>
    <xf numFmtId="0" fontId="26" fillId="0" borderId="28" xfId="0" applyFont="1" applyBorder="1" applyAlignment="1" applyProtection="1">
      <alignment horizontal="center" vertical="center"/>
      <protection locked="0"/>
    </xf>
    <xf numFmtId="0" fontId="26" fillId="0" borderId="29" xfId="0" applyFont="1" applyBorder="1" applyAlignment="1" applyProtection="1">
      <alignment horizontal="center" vertical="center"/>
      <protection locked="0"/>
    </xf>
    <xf numFmtId="0" fontId="27" fillId="11" borderId="30" xfId="0" applyFont="1" applyFill="1" applyBorder="1" applyAlignment="1" applyProtection="1">
      <alignment horizontal="left" vertical="center"/>
      <protection locked="0"/>
    </xf>
    <xf numFmtId="171" fontId="25" fillId="13" borderId="24" xfId="0" applyNumberFormat="1" applyFont="1" applyFill="1" applyBorder="1" applyAlignment="1" applyProtection="1">
      <alignment horizontal="center" vertical="center"/>
      <protection locked="0"/>
    </xf>
    <xf numFmtId="10" fontId="25" fillId="13" borderId="24" xfId="0" applyNumberFormat="1" applyFont="1" applyFill="1" applyBorder="1" applyAlignment="1" applyProtection="1">
      <alignment horizontal="center" vertical="center"/>
      <protection locked="0"/>
    </xf>
    <xf numFmtId="0" fontId="27" fillId="11" borderId="32" xfId="0" applyFont="1" applyFill="1" applyBorder="1" applyAlignment="1" applyProtection="1">
      <alignment horizontal="left" vertical="center"/>
      <protection locked="0"/>
    </xf>
    <xf numFmtId="0" fontId="25" fillId="13" borderId="24" xfId="0" applyFont="1" applyFill="1" applyBorder="1" applyAlignment="1" applyProtection="1">
      <alignment horizontal="center" vertical="center"/>
      <protection locked="0"/>
    </xf>
    <xf numFmtId="0" fontId="27" fillId="11" borderId="1" xfId="0" applyFont="1" applyFill="1" applyBorder="1" applyAlignment="1" applyProtection="1">
      <alignment horizontal="left" vertical="center"/>
      <protection locked="0"/>
    </xf>
    <xf numFmtId="172" fontId="28" fillId="0" borderId="2" xfId="0" applyNumberFormat="1" applyFont="1" applyBorder="1" applyAlignment="1" applyProtection="1">
      <alignment horizontal="center" vertical="center"/>
      <protection locked="0"/>
    </xf>
    <xf numFmtId="172" fontId="28" fillId="0" borderId="1" xfId="0" applyNumberFormat="1" applyFont="1" applyBorder="1" applyAlignment="1" applyProtection="1">
      <alignment horizontal="center" vertical="center"/>
      <protection locked="0"/>
    </xf>
    <xf numFmtId="0" fontId="26" fillId="7" borderId="28" xfId="0" applyFont="1" applyFill="1" applyBorder="1" applyAlignment="1" applyProtection="1">
      <alignment horizontal="left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2" fillId="7" borderId="27" xfId="0" applyFont="1" applyFill="1" applyBorder="1" applyAlignment="1" applyProtection="1">
      <alignment horizontal="center" vertical="center"/>
      <protection locked="0"/>
    </xf>
    <xf numFmtId="0" fontId="22" fillId="7" borderId="28" xfId="0" applyFont="1" applyFill="1" applyBorder="1" applyAlignment="1" applyProtection="1">
      <alignment horizontal="center" vertical="center"/>
      <protection locked="0"/>
    </xf>
    <xf numFmtId="0" fontId="27" fillId="0" borderId="38" xfId="0" applyFont="1" applyBorder="1" applyAlignment="1" applyProtection="1">
      <alignment horizontal="center" vertical="center"/>
      <protection locked="0"/>
    </xf>
    <xf numFmtId="173" fontId="27" fillId="0" borderId="39" xfId="0" applyNumberFormat="1" applyFont="1" applyBorder="1" applyAlignment="1" applyProtection="1">
      <alignment horizontal="center" vertical="center"/>
      <protection locked="0"/>
    </xf>
    <xf numFmtId="0" fontId="26" fillId="0" borderId="40" xfId="0" applyFont="1" applyBorder="1" applyAlignment="1" applyProtection="1">
      <alignment horizontal="center" vertical="center"/>
      <protection locked="0"/>
    </xf>
    <xf numFmtId="0" fontId="25" fillId="0" borderId="23" xfId="0" applyFont="1" applyBorder="1" applyAlignment="1" applyProtection="1">
      <alignment horizontal="center" vertical="center"/>
      <protection locked="0"/>
    </xf>
    <xf numFmtId="0" fontId="22" fillId="14" borderId="42" xfId="0" applyFont="1" applyFill="1" applyBorder="1" applyAlignment="1" applyProtection="1">
      <alignment horizontal="center" vertical="center"/>
      <protection locked="0"/>
    </xf>
    <xf numFmtId="173" fontId="22" fillId="14" borderId="14" xfId="0" applyNumberFormat="1" applyFont="1" applyFill="1" applyBorder="1" applyAlignment="1" applyProtection="1">
      <alignment horizontal="center" vertical="center"/>
      <protection locked="0"/>
    </xf>
    <xf numFmtId="173" fontId="22" fillId="8" borderId="10" xfId="0" applyNumberFormat="1" applyFont="1" applyFill="1" applyBorder="1" applyAlignment="1" applyProtection="1">
      <alignment horizontal="center" vertical="center"/>
      <protection locked="0"/>
    </xf>
    <xf numFmtId="173" fontId="22" fillId="9" borderId="43" xfId="0" applyNumberFormat="1" applyFont="1" applyFill="1" applyBorder="1" applyAlignment="1" applyProtection="1">
      <alignment horizontal="center" vertical="center"/>
      <protection locked="0"/>
    </xf>
    <xf numFmtId="0" fontId="22" fillId="15" borderId="31" xfId="0" applyFont="1" applyFill="1" applyBorder="1" applyAlignment="1" applyProtection="1">
      <alignment horizontal="center" vertical="center"/>
      <protection locked="0"/>
    </xf>
    <xf numFmtId="173" fontId="22" fillId="16" borderId="45" xfId="0" applyNumberFormat="1" applyFont="1" applyFill="1" applyBorder="1" applyAlignment="1" applyProtection="1">
      <alignment horizontal="center" vertical="center"/>
      <protection locked="0"/>
    </xf>
    <xf numFmtId="173" fontId="26" fillId="8" borderId="10" xfId="0" applyNumberFormat="1" applyFont="1" applyFill="1" applyBorder="1" applyAlignment="1" applyProtection="1">
      <alignment horizontal="center" vertical="center"/>
      <protection locked="0"/>
    </xf>
    <xf numFmtId="0" fontId="22" fillId="17" borderId="46" xfId="0" applyFont="1" applyFill="1" applyBorder="1" applyAlignment="1" applyProtection="1">
      <alignment horizontal="center" vertical="center"/>
      <protection locked="0"/>
    </xf>
    <xf numFmtId="173" fontId="22" fillId="18" borderId="47" xfId="0" applyNumberFormat="1" applyFont="1" applyFill="1" applyBorder="1" applyAlignment="1" applyProtection="1">
      <alignment horizontal="center" vertical="center"/>
      <protection locked="0"/>
    </xf>
    <xf numFmtId="173" fontId="26" fillId="8" borderId="48" xfId="0" applyNumberFormat="1" applyFont="1" applyFill="1" applyBorder="1" applyAlignment="1" applyProtection="1">
      <alignment horizontal="center" vertical="center"/>
      <protection locked="0"/>
    </xf>
    <xf numFmtId="173" fontId="26" fillId="9" borderId="49" xfId="0" applyNumberFormat="1" applyFont="1" applyFill="1" applyBorder="1" applyAlignment="1" applyProtection="1">
      <alignment horizontal="center" vertical="center"/>
      <protection locked="0"/>
    </xf>
    <xf numFmtId="0" fontId="26" fillId="7" borderId="50" xfId="0" applyFont="1" applyFill="1" applyBorder="1" applyProtection="1">
      <protection locked="0"/>
    </xf>
    <xf numFmtId="0" fontId="26" fillId="7" borderId="3" xfId="0" applyFont="1" applyFill="1" applyBorder="1" applyProtection="1">
      <protection locked="0"/>
    </xf>
    <xf numFmtId="0" fontId="26" fillId="7" borderId="51" xfId="0" applyFont="1" applyFill="1" applyBorder="1" applyProtection="1"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0" fontId="27" fillId="11" borderId="31" xfId="0" applyFont="1" applyFill="1" applyBorder="1" applyAlignment="1" applyProtection="1">
      <alignment horizontal="left" vertical="center"/>
      <protection locked="0"/>
    </xf>
    <xf numFmtId="10" fontId="26" fillId="7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7" xfId="0" applyFont="1" applyFill="1" applyBorder="1" applyAlignment="1" applyProtection="1">
      <alignment horizontal="center" vertical="center"/>
      <protection locked="0"/>
    </xf>
    <xf numFmtId="166" fontId="28" fillId="7" borderId="33" xfId="0" applyNumberFormat="1" applyFont="1" applyFill="1" applyBorder="1" applyAlignment="1" applyProtection="1">
      <alignment horizontal="center" vertical="center"/>
      <protection locked="0"/>
    </xf>
    <xf numFmtId="166" fontId="30" fillId="7" borderId="27" xfId="0" applyNumberFormat="1" applyFont="1" applyFill="1" applyBorder="1" applyAlignment="1" applyProtection="1">
      <alignment horizontal="center" vertical="center"/>
      <protection locked="0"/>
    </xf>
    <xf numFmtId="166" fontId="28" fillId="7" borderId="34" xfId="0" applyNumberFormat="1" applyFont="1" applyFill="1" applyBorder="1" applyAlignment="1" applyProtection="1">
      <alignment horizontal="center" vertical="center"/>
      <protection locked="0"/>
    </xf>
    <xf numFmtId="166" fontId="28" fillId="7" borderId="27" xfId="0" applyNumberFormat="1" applyFont="1" applyFill="1" applyBorder="1" applyAlignment="1" applyProtection="1">
      <alignment horizontal="center" vertical="center"/>
      <protection locked="0"/>
    </xf>
    <xf numFmtId="166" fontId="26" fillId="0" borderId="34" xfId="0" applyNumberFormat="1" applyFont="1" applyBorder="1" applyAlignment="1" applyProtection="1">
      <alignment horizontal="center" vertical="center"/>
      <protection locked="0"/>
    </xf>
    <xf numFmtId="0" fontId="27" fillId="11" borderId="35" xfId="0" applyFont="1" applyFill="1" applyBorder="1" applyAlignment="1" applyProtection="1">
      <alignment horizontal="left" vertical="center"/>
      <protection locked="0"/>
    </xf>
    <xf numFmtId="166" fontId="26" fillId="0" borderId="36" xfId="0" applyNumberFormat="1" applyFont="1" applyBorder="1" applyAlignment="1" applyProtection="1">
      <alignment horizontal="center" vertical="center"/>
      <protection locked="0"/>
    </xf>
    <xf numFmtId="0" fontId="27" fillId="11" borderId="37" xfId="0" applyFont="1" applyFill="1" applyBorder="1" applyAlignment="1" applyProtection="1">
      <alignment horizontal="left" vertical="center"/>
      <protection locked="0"/>
    </xf>
    <xf numFmtId="0" fontId="27" fillId="7" borderId="28" xfId="0" applyFont="1" applyFill="1" applyBorder="1" applyAlignment="1" applyProtection="1">
      <alignment horizontal="center" vertical="center"/>
      <protection locked="0"/>
    </xf>
    <xf numFmtId="173" fontId="27" fillId="7" borderId="0" xfId="0" applyNumberFormat="1" applyFont="1" applyFill="1" applyAlignment="1" applyProtection="1">
      <alignment horizontal="center" vertical="center"/>
      <protection locked="0"/>
    </xf>
    <xf numFmtId="0" fontId="26" fillId="0" borderId="41" xfId="0" applyFont="1" applyBorder="1" applyAlignment="1" applyProtection="1">
      <alignment horizontal="center" vertical="center"/>
      <protection locked="0"/>
    </xf>
    <xf numFmtId="0" fontId="25" fillId="0" borderId="24" xfId="0" applyFont="1" applyBorder="1" applyAlignment="1" applyProtection="1">
      <alignment horizontal="center" vertical="center"/>
      <protection locked="0"/>
    </xf>
    <xf numFmtId="0" fontId="27" fillId="14" borderId="42" xfId="0" applyFont="1" applyFill="1" applyBorder="1" applyAlignment="1" applyProtection="1">
      <alignment horizontal="center" vertical="center"/>
      <protection locked="0"/>
    </xf>
    <xf numFmtId="174" fontId="22" fillId="14" borderId="14" xfId="0" applyNumberFormat="1" applyFont="1" applyFill="1" applyBorder="1" applyAlignment="1" applyProtection="1">
      <alignment horizontal="center" vertical="center"/>
      <protection locked="0"/>
    </xf>
    <xf numFmtId="173" fontId="22" fillId="10" borderId="44" xfId="0" applyNumberFormat="1" applyFont="1" applyFill="1" applyBorder="1" applyAlignment="1" applyProtection="1">
      <alignment horizontal="center" vertical="center"/>
      <protection locked="0"/>
    </xf>
    <xf numFmtId="0" fontId="27" fillId="15" borderId="31" xfId="0" applyFont="1" applyFill="1" applyBorder="1" applyAlignment="1" applyProtection="1">
      <alignment horizontal="center" vertical="center"/>
      <protection locked="0"/>
    </xf>
    <xf numFmtId="174" fontId="22" fillId="16" borderId="45" xfId="0" applyNumberFormat="1" applyFont="1" applyFill="1" applyBorder="1" applyAlignment="1" applyProtection="1">
      <alignment horizontal="center" vertical="center"/>
      <protection locked="0"/>
    </xf>
    <xf numFmtId="173" fontId="26" fillId="5" borderId="43" xfId="0" applyNumberFormat="1" applyFont="1" applyFill="1" applyBorder="1" applyAlignment="1" applyProtection="1">
      <alignment horizontal="center" vertical="center"/>
      <protection locked="0"/>
    </xf>
    <xf numFmtId="0" fontId="27" fillId="17" borderId="46" xfId="0" applyFont="1" applyFill="1" applyBorder="1" applyAlignment="1" applyProtection="1">
      <alignment horizontal="center" vertical="center"/>
      <protection locked="0"/>
    </xf>
    <xf numFmtId="174" fontId="22" fillId="18" borderId="47" xfId="0" applyNumberFormat="1" applyFont="1" applyFill="1" applyBorder="1" applyAlignment="1" applyProtection="1">
      <alignment horizontal="center" vertical="center"/>
      <protection locked="0"/>
    </xf>
    <xf numFmtId="173" fontId="22" fillId="8" borderId="48" xfId="0" applyNumberFormat="1" applyFont="1" applyFill="1" applyBorder="1" applyAlignment="1" applyProtection="1">
      <alignment horizontal="center" vertical="center"/>
      <protection locked="0"/>
    </xf>
    <xf numFmtId="173" fontId="26" fillId="5" borderId="49" xfId="0" applyNumberFormat="1" applyFont="1" applyFill="1" applyBorder="1" applyAlignment="1" applyProtection="1">
      <alignment horizontal="center" vertical="center"/>
      <protection locked="0"/>
    </xf>
    <xf numFmtId="0" fontId="26" fillId="7" borderId="50" xfId="0" applyFont="1" applyFill="1" applyBorder="1" applyAlignment="1" applyProtection="1">
      <alignment vertical="center"/>
      <protection locked="0"/>
    </xf>
    <xf numFmtId="0" fontId="26" fillId="7" borderId="3" xfId="0" applyFont="1" applyFill="1" applyBorder="1" applyAlignment="1" applyProtection="1">
      <alignment vertical="center"/>
      <protection locked="0"/>
    </xf>
    <xf numFmtId="0" fontId="26" fillId="7" borderId="51" xfId="0" applyFont="1" applyFill="1" applyBorder="1" applyAlignment="1" applyProtection="1">
      <alignment vertical="center"/>
      <protection locked="0"/>
    </xf>
    <xf numFmtId="0" fontId="2" fillId="0" borderId="0" xfId="1" applyFont="1" applyBorder="1"/>
    <xf numFmtId="0" fontId="2" fillId="0" borderId="53" xfId="1" applyFont="1" applyBorder="1"/>
    <xf numFmtId="0" fontId="2" fillId="0" borderId="54" xfId="1" applyFont="1" applyBorder="1"/>
    <xf numFmtId="167" fontId="2" fillId="0" borderId="54" xfId="1" applyNumberFormat="1" applyFont="1" applyBorder="1"/>
    <xf numFmtId="0" fontId="2" fillId="0" borderId="55" xfId="1" applyFont="1" applyBorder="1"/>
    <xf numFmtId="0" fontId="2" fillId="22" borderId="15" xfId="1" applyFont="1" applyFill="1" applyBorder="1"/>
    <xf numFmtId="166" fontId="26" fillId="0" borderId="0" xfId="1" applyNumberFormat="1" applyFont="1"/>
    <xf numFmtId="0" fontId="26" fillId="0" borderId="0" xfId="1" applyFont="1"/>
    <xf numFmtId="0" fontId="2" fillId="4" borderId="12" xfId="1" applyFont="1" applyFill="1" applyBorder="1" applyAlignment="1">
      <alignment horizontal="center"/>
    </xf>
    <xf numFmtId="167" fontId="8" fillId="4" borderId="15" xfId="1" applyNumberFormat="1" applyFont="1" applyFill="1" applyBorder="1" applyAlignment="1">
      <alignment horizontal="center" vertical="center"/>
    </xf>
    <xf numFmtId="9" fontId="8" fillId="4" borderId="15" xfId="1" applyNumberFormat="1" applyFont="1" applyFill="1" applyBorder="1" applyAlignment="1">
      <alignment horizontal="center" vertical="center"/>
    </xf>
    <xf numFmtId="0" fontId="27" fillId="11" borderId="59" xfId="0" applyFont="1" applyFill="1" applyBorder="1" applyAlignment="1" applyProtection="1">
      <alignment horizontal="left" vertical="center"/>
      <protection locked="0"/>
    </xf>
    <xf numFmtId="171" fontId="25" fillId="13" borderId="58" xfId="0" applyNumberFormat="1" applyFont="1" applyFill="1" applyBorder="1" applyAlignment="1" applyProtection="1">
      <alignment horizontal="center" vertical="center"/>
      <protection locked="0"/>
    </xf>
    <xf numFmtId="10" fontId="25" fillId="13" borderId="58" xfId="0" applyNumberFormat="1" applyFont="1" applyFill="1" applyBorder="1" applyAlignment="1" applyProtection="1">
      <alignment horizontal="center" vertical="center"/>
      <protection locked="0"/>
    </xf>
    <xf numFmtId="0" fontId="25" fillId="13" borderId="58" xfId="0" applyFont="1" applyFill="1" applyBorder="1" applyAlignment="1" applyProtection="1">
      <alignment horizontal="center" vertical="center"/>
      <protection locked="0"/>
    </xf>
    <xf numFmtId="0" fontId="27" fillId="6" borderId="26" xfId="0" applyFont="1" applyFill="1" applyBorder="1" applyAlignment="1" applyProtection="1">
      <alignment horizontal="center" vertical="center"/>
      <protection locked="0"/>
    </xf>
    <xf numFmtId="0" fontId="27" fillId="6" borderId="52" xfId="0" applyFont="1" applyFill="1" applyBorder="1" applyAlignment="1" applyProtection="1">
      <alignment horizontal="center" vertical="center"/>
      <protection locked="0"/>
    </xf>
    <xf numFmtId="0" fontId="25" fillId="12" borderId="26" xfId="0" applyFont="1" applyFill="1" applyBorder="1" applyAlignment="1" applyProtection="1">
      <alignment horizontal="center" vertical="center"/>
      <protection locked="0"/>
    </xf>
    <xf numFmtId="0" fontId="25" fillId="12" borderId="25" xfId="0" applyFont="1" applyFill="1" applyBorder="1" applyAlignment="1" applyProtection="1">
      <alignment horizontal="center" vertical="center"/>
      <protection locked="0"/>
    </xf>
    <xf numFmtId="0" fontId="24" fillId="13" borderId="21" xfId="0" applyFont="1" applyFill="1" applyBorder="1" applyAlignment="1" applyProtection="1">
      <alignment horizontal="center" vertical="center"/>
      <protection locked="0"/>
    </xf>
    <xf numFmtId="0" fontId="24" fillId="13" borderId="22" xfId="0" applyFont="1" applyFill="1" applyBorder="1" applyAlignment="1" applyProtection="1">
      <alignment horizontal="center" vertical="center"/>
      <protection locked="0"/>
    </xf>
    <xf numFmtId="0" fontId="24" fillId="13" borderId="23" xfId="0" applyFont="1" applyFill="1" applyBorder="1" applyAlignment="1" applyProtection="1">
      <alignment horizontal="center" vertical="center"/>
      <protection locked="0"/>
    </xf>
    <xf numFmtId="0" fontId="24" fillId="13" borderId="28" xfId="0" applyFont="1" applyFill="1" applyBorder="1" applyAlignment="1" applyProtection="1">
      <alignment horizontal="center" vertical="center"/>
      <protection locked="0"/>
    </xf>
    <xf numFmtId="0" fontId="24" fillId="13" borderId="0" xfId="0" applyFont="1" applyFill="1" applyBorder="1" applyAlignment="1" applyProtection="1">
      <alignment horizontal="center" vertical="center"/>
      <protection locked="0"/>
    </xf>
    <xf numFmtId="0" fontId="24" fillId="13" borderId="27" xfId="0" applyFont="1" applyFill="1" applyBorder="1" applyAlignment="1" applyProtection="1">
      <alignment horizontal="center" vertical="center"/>
      <protection locked="0"/>
    </xf>
    <xf numFmtId="0" fontId="24" fillId="13" borderId="50" xfId="0" applyFont="1" applyFill="1" applyBorder="1" applyAlignment="1" applyProtection="1">
      <alignment horizontal="center" vertical="center"/>
      <protection locked="0"/>
    </xf>
    <xf numFmtId="0" fontId="24" fillId="13" borderId="3" xfId="0" applyFont="1" applyFill="1" applyBorder="1" applyAlignment="1" applyProtection="1">
      <alignment horizontal="center" vertical="center"/>
      <protection locked="0"/>
    </xf>
    <xf numFmtId="0" fontId="24" fillId="13" borderId="51" xfId="0" applyFont="1" applyFill="1" applyBorder="1" applyAlignment="1" applyProtection="1">
      <alignment horizontal="center" vertical="center"/>
      <protection locked="0"/>
    </xf>
    <xf numFmtId="165" fontId="27" fillId="11" borderId="1" xfId="1" applyNumberFormat="1" applyFont="1" applyFill="1" applyBorder="1" applyAlignment="1">
      <alignment horizontal="center" vertical="center"/>
    </xf>
    <xf numFmtId="168" fontId="32" fillId="3" borderId="1" xfId="1" applyNumberFormat="1" applyFont="1" applyFill="1" applyBorder="1" applyAlignment="1">
      <alignment horizontal="center" vertical="center"/>
    </xf>
    <xf numFmtId="0" fontId="32" fillId="3" borderId="1" xfId="1" applyFont="1" applyFill="1" applyBorder="1" applyAlignment="1">
      <alignment horizontal="center" vertical="center"/>
    </xf>
    <xf numFmtId="166" fontId="27" fillId="11" borderId="1" xfId="1" applyNumberFormat="1" applyFont="1" applyFill="1" applyBorder="1" applyAlignment="1">
      <alignment horizontal="center" vertical="center"/>
    </xf>
    <xf numFmtId="174" fontId="32" fillId="2" borderId="1" xfId="1" applyNumberFormat="1" applyFont="1" applyFill="1" applyBorder="1" applyAlignment="1">
      <alignment horizontal="center" vertical="center"/>
    </xf>
    <xf numFmtId="0" fontId="7" fillId="4" borderId="11" xfId="1" applyFont="1" applyFill="1" applyBorder="1" applyAlignment="1">
      <alignment vertical="center"/>
    </xf>
    <xf numFmtId="0" fontId="7" fillId="4" borderId="12" xfId="1" applyFont="1" applyFill="1" applyBorder="1" applyAlignment="1">
      <alignment vertical="center"/>
    </xf>
    <xf numFmtId="0" fontId="7" fillId="4" borderId="14" xfId="1" applyFont="1" applyFill="1" applyBorder="1" applyAlignment="1">
      <alignment vertical="center"/>
    </xf>
    <xf numFmtId="0" fontId="7" fillId="4" borderId="15" xfId="1" applyFont="1" applyFill="1" applyBorder="1" applyAlignment="1">
      <alignment vertical="center"/>
    </xf>
    <xf numFmtId="0" fontId="24" fillId="13" borderId="56" xfId="0" applyFont="1" applyFill="1" applyBorder="1" applyAlignment="1" applyProtection="1">
      <alignment horizontal="center" vertical="center"/>
      <protection locked="0"/>
    </xf>
    <xf numFmtId="0" fontId="24" fillId="13" borderId="54" xfId="0" applyFont="1" applyFill="1" applyBorder="1" applyAlignment="1" applyProtection="1">
      <alignment horizontal="center" vertical="center"/>
      <protection locked="0"/>
    </xf>
    <xf numFmtId="0" fontId="24" fillId="13" borderId="57" xfId="0" applyFont="1" applyFill="1" applyBorder="1" applyAlignment="1" applyProtection="1">
      <alignment horizontal="center" vertical="center"/>
      <protection locked="0"/>
    </xf>
    <xf numFmtId="168" fontId="7" fillId="4" borderId="17" xfId="1" applyNumberFormat="1" applyFont="1" applyFill="1" applyBorder="1" applyAlignment="1">
      <alignment horizontal="center" vertical="center"/>
    </xf>
    <xf numFmtId="168" fontId="7" fillId="4" borderId="18" xfId="1" applyNumberFormat="1" applyFont="1" applyFill="1" applyBorder="1" applyAlignment="1">
      <alignment horizontal="center" vertical="center"/>
    </xf>
    <xf numFmtId="0" fontId="5" fillId="0" borderId="14" xfId="1" applyFont="1" applyBorder="1"/>
    <xf numFmtId="1" fontId="7" fillId="19" borderId="58" xfId="1" applyNumberFormat="1" applyFont="1" applyFill="1" applyBorder="1" applyAlignment="1">
      <alignment horizontal="center" vertical="center"/>
    </xf>
    <xf numFmtId="1" fontId="31" fillId="13" borderId="58" xfId="1" applyNumberFormat="1" applyFont="1" applyFill="1" applyBorder="1"/>
    <xf numFmtId="168" fontId="7" fillId="19" borderId="58" xfId="1" applyNumberFormat="1" applyFont="1" applyFill="1" applyBorder="1" applyAlignment="1">
      <alignment horizontal="center" vertical="center"/>
    </xf>
    <xf numFmtId="168" fontId="31" fillId="13" borderId="58" xfId="1" applyNumberFormat="1" applyFont="1" applyFill="1" applyBorder="1"/>
    <xf numFmtId="0" fontId="17" fillId="20" borderId="7" xfId="1" applyFont="1" applyFill="1" applyBorder="1" applyAlignment="1">
      <alignment horizontal="center" vertical="center" wrapText="1"/>
    </xf>
    <xf numFmtId="0" fontId="5" fillId="21" borderId="8" xfId="1" applyFont="1" applyFill="1" applyBorder="1"/>
    <xf numFmtId="0" fontId="5" fillId="21" borderId="9" xfId="1" applyFont="1" applyFill="1" applyBorder="1"/>
    <xf numFmtId="164" fontId="7" fillId="19" borderId="58" xfId="1" applyNumberFormat="1" applyFont="1" applyFill="1" applyBorder="1" applyAlignment="1">
      <alignment horizontal="center" vertical="center"/>
    </xf>
    <xf numFmtId="164" fontId="31" fillId="13" borderId="58" xfId="1" applyNumberFormat="1" applyFont="1" applyFill="1" applyBorder="1"/>
    <xf numFmtId="168" fontId="33" fillId="23" borderId="21" xfId="1" applyNumberFormat="1" applyFont="1" applyFill="1" applyBorder="1" applyAlignment="1">
      <alignment horizontal="center" vertical="center"/>
    </xf>
    <xf numFmtId="168" fontId="33" fillId="23" borderId="23" xfId="1" applyNumberFormat="1" applyFont="1" applyFill="1" applyBorder="1" applyAlignment="1">
      <alignment horizontal="center" vertical="center"/>
    </xf>
    <xf numFmtId="168" fontId="33" fillId="23" borderId="50" xfId="1" applyNumberFormat="1" applyFont="1" applyFill="1" applyBorder="1" applyAlignment="1">
      <alignment horizontal="center" vertical="center"/>
    </xf>
    <xf numFmtId="168" fontId="33" fillId="23" borderId="51" xfId="1" applyNumberFormat="1" applyFont="1" applyFill="1" applyBorder="1" applyAlignment="1">
      <alignment horizontal="center" vertical="center"/>
    </xf>
  </cellXfs>
  <cellStyles count="3">
    <cellStyle name="Standaard" xfId="0" builtinId="0"/>
    <cellStyle name="Standaard 2" xfId="1" xr:uid="{11891CEF-B66F-4249-8CFA-8C3FFBE9BF55}"/>
    <cellStyle name="Valuta 2" xfId="2" xr:uid="{4E6BDDEA-196A-41E8-A7F9-60790694B7DC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BDAD7"/>
      <color rgb="FFFFFFCC"/>
      <color rgb="FFD91D57"/>
      <color rgb="FFFEF2CD"/>
      <color rgb="FFFFE599"/>
      <color rgb="FFD9E7FD"/>
      <color rgb="FFD1F1DA"/>
      <color rgb="FFFFE1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nl-BE">
                <a:solidFill>
                  <a:sysClr val="windowText" lastClr="000000"/>
                </a:solidFill>
              </a:rPr>
              <a:t>lenen en investeren &gt;&lt; spaargeld uitgeven</a:t>
            </a:r>
          </a:p>
        </c:rich>
      </c:tx>
      <c:overlay val="0"/>
      <c:spPr>
        <a:solidFill>
          <a:srgbClr val="FFE59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91D57"/>
            </a:solid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3C2-4F36-8AF9-0AFA0BD351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73C2-4F36-8AF9-0AFA0BD351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3C2-4F36-8AF9-0AFA0BD35189}"/>
              </c:ext>
            </c:extLst>
          </c:dPt>
          <c:dLbls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('Opportuniteitskost lenen'!$A$13,'Opportuniteitskost lenen'!$A$14,'Opportuniteitskost lenen'!$A$15)</c:f>
              <c:strCache>
                <c:ptCount val="3"/>
                <c:pt idx="0">
                  <c:v>Pessimistisch scenario: 2% </c:v>
                </c:pt>
                <c:pt idx="1">
                  <c:v>Neutraal scenario: 5% </c:v>
                </c:pt>
                <c:pt idx="2">
                  <c:v>Positief scenario: 7%</c:v>
                </c:pt>
              </c:strCache>
            </c:strRef>
          </c:cat>
          <c:val>
            <c:numRef>
              <c:f>('Opportuniteitskost lenen'!$D$13,'Opportuniteitskost lenen'!$D$14,'Opportuniteitskost lenen'!$D$15)</c:f>
              <c:numCache>
                <c:formatCode>"€"#,##0</c:formatCode>
                <c:ptCount val="3"/>
                <c:pt idx="0">
                  <c:v>12018.88485352922</c:v>
                </c:pt>
                <c:pt idx="1">
                  <c:v>113469.1860322436</c:v>
                </c:pt>
                <c:pt idx="2">
                  <c:v>197187.72683399427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1-4729-87EA-D85477783D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9840768"/>
        <c:axId val="149840288"/>
      </c:barChart>
      <c:catAx>
        <c:axId val="14984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E599"/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nl-BE"/>
          </a:p>
        </c:txPr>
        <c:crossAx val="149840288"/>
        <c:crosses val="autoZero"/>
        <c:auto val="1"/>
        <c:lblAlgn val="ctr"/>
        <c:lblOffset val="100"/>
        <c:noMultiLvlLbl val="0"/>
      </c:catAx>
      <c:valAx>
        <c:axId val="149840288"/>
        <c:scaling>
          <c:orientation val="minMax"/>
        </c:scaling>
        <c:delete val="0"/>
        <c:axPos val="l"/>
        <c:numFmt formatCode="&quot;€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nl-BE"/>
          </a:p>
        </c:txPr>
        <c:crossAx val="14984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EF2CD"/>
    </a:solidFill>
    <a:ln w="9525" cap="flat" cmpd="sng" algn="ctr">
      <a:solidFill>
        <a:srgbClr val="FFFFCC"/>
      </a:solidFill>
      <a:round/>
    </a:ln>
    <a:effectLst>
      <a:glow rad="38100">
        <a:srgbClr val="C00000">
          <a:alpha val="23000"/>
        </a:srgbClr>
      </a:glow>
      <a:outerShdw blurRad="50800" dist="50800" dir="5400000" sx="1000" sy="1000" algn="ctr" rotWithShape="0">
        <a:srgbClr val="000000">
          <a:alpha val="43137"/>
        </a:srgbClr>
      </a:outerShdw>
      <a:softEdge rad="25400"/>
    </a:effectLst>
  </c:spPr>
  <c:txPr>
    <a:bodyPr/>
    <a:lstStyle/>
    <a:p>
      <a:pPr>
        <a:defRPr sz="1000"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all" spc="150" baseline="0">
                <a:solidFill>
                  <a:schemeClr val="dk1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nl-BE" b="1"/>
              <a:t>lenen en investeren &gt;&lt; spaargeld uitgeven - bulletkrediet</a:t>
            </a:r>
          </a:p>
        </c:rich>
      </c:tx>
      <c:overlay val="0"/>
      <c:spPr>
        <a:solidFill>
          <a:srgbClr val="FFE59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all" spc="150" baseline="0">
              <a:solidFill>
                <a:schemeClr val="dk1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innerShdw blurRad="114300">
                <a:schemeClr val="accent6">
                  <a:tint val="77000"/>
                </a:schemeClr>
              </a:inn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innerShdw blurRad="114300">
                  <a:schemeClr val="accent6">
                    <a:tint val="77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FE71-4EA0-B370-32D66E3A05C8}"/>
              </c:ext>
            </c:extLst>
          </c:dPt>
          <c:dLbls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('Opportuniteitskost lenen'!$A$37,'Opportuniteitskost lenen'!$A$38,'Opportuniteitskost lenen'!$A$39)</c:f>
              <c:strCache>
                <c:ptCount val="3"/>
                <c:pt idx="0">
                  <c:v>Pessimistisch scenario: 2% </c:v>
                </c:pt>
                <c:pt idx="1">
                  <c:v>Neutraal scenario: 5% </c:v>
                </c:pt>
                <c:pt idx="2">
                  <c:v>Positief scenario: 7% </c:v>
                </c:pt>
              </c:strCache>
            </c:strRef>
          </c:cat>
          <c:val>
            <c:numRef>
              <c:f>('Opportuniteitskost lenen'!$D$37,'Opportuniteitskost lenen'!$D$38,'Opportuniteitskost lenen'!$D$39)</c:f>
              <c:numCache>
                <c:formatCode>"€"#,##0</c:formatCode>
                <c:ptCount val="3"/>
                <c:pt idx="0">
                  <c:v>-6073.1577820688253</c:v>
                </c:pt>
                <c:pt idx="1">
                  <c:v>134801.97994523356</c:v>
                </c:pt>
                <c:pt idx="2">
                  <c:v>249627.80275563453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71-4EA0-B370-32D66E3A05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4"/>
        <c:axId val="149840768"/>
        <c:axId val="149840288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spPr>
                  <a:pattFill prst="narHorz">
                    <a:fgClr>
                      <a:schemeClr val="accent6">
                        <a:shade val="76000"/>
                      </a:schemeClr>
                    </a:fgClr>
                    <a:bgClr>
                      <a:schemeClr val="accent6">
                        <a:shade val="76000"/>
                        <a:lumMod val="20000"/>
                        <a:lumOff val="80000"/>
                      </a:schemeClr>
                    </a:bgClr>
                  </a:pattFill>
                  <a:ln>
                    <a:noFill/>
                  </a:ln>
                  <a:effectLst>
                    <a:innerShdw blurRad="114300">
                      <a:schemeClr val="accent6">
                        <a:shade val="76000"/>
                      </a:schemeClr>
                    </a:inn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dk1"/>
                          </a:solidFill>
                          <a:latin typeface="Lato" panose="020F0502020204030203" pitchFamily="34" charset="0"/>
                          <a:ea typeface="Lato" panose="020F0502020204030203" pitchFamily="34" charset="0"/>
                          <a:cs typeface="Lato" panose="020F0502020204030203" pitchFamily="34" charset="0"/>
                        </a:defRPr>
                      </a:pPr>
                      <a:endParaRPr lang="nl-BE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('Opportuniteitskost lenen'!$A$13,'Opportuniteitskost lenen'!$A$14,'Opportuniteitskost lenen'!$A$15)</c15:sqref>
                        </c15:formulaRef>
                      </c:ext>
                    </c:extLst>
                    <c:strCache>
                      <c:ptCount val="3"/>
                      <c:pt idx="0">
                        <c:v>Pessimistisch scenario: 2% </c:v>
                      </c:pt>
                      <c:pt idx="1">
                        <c:v>Neutraal scenario: 5% </c:v>
                      </c:pt>
                      <c:pt idx="2">
                        <c:v>Positief scenario: 7%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('Opportuniteitskost lenen'!$D$13,'Opportuniteitskost lenen'!$D$14,'Opportuniteitskost lenen'!$D$15)</c15:sqref>
                        </c15:formulaRef>
                      </c:ext>
                    </c:extLst>
                    <c:numCache>
                      <c:formatCode>"€"#,##0</c:formatCode>
                      <c:ptCount val="3"/>
                      <c:pt idx="0">
                        <c:v>12018.88485352922</c:v>
                      </c:pt>
                      <c:pt idx="1">
                        <c:v>113469.1860322436</c:v>
                      </c:pt>
                      <c:pt idx="2">
                        <c:v>197187.72683399427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E71-4EA0-B370-32D66E3A05C8}"/>
                  </c:ext>
                </c:extLst>
              </c15:ser>
            </c15:filteredBarSeries>
          </c:ext>
        </c:extLst>
      </c:barChart>
      <c:catAx>
        <c:axId val="14984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E599"/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nl-BE"/>
          </a:p>
        </c:txPr>
        <c:crossAx val="149840288"/>
        <c:crosses val="autoZero"/>
        <c:auto val="1"/>
        <c:lblAlgn val="ctr"/>
        <c:lblOffset val="100"/>
        <c:noMultiLvlLbl val="0"/>
      </c:catAx>
      <c:valAx>
        <c:axId val="149840288"/>
        <c:scaling>
          <c:orientation val="minMax"/>
        </c:scaling>
        <c:delete val="0"/>
        <c:axPos val="l"/>
        <c:numFmt formatCode="&quot;€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nl-BE"/>
          </a:p>
        </c:txPr>
        <c:crossAx val="149840768"/>
        <c:crosses val="autoZero"/>
        <c:crossBetween val="between"/>
      </c:valAx>
      <c:spPr>
        <a:solidFill>
          <a:srgbClr val="FEF2CD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FEF2C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5400">
        <a:srgbClr val="C00000">
          <a:alpha val="31000"/>
        </a:srgbClr>
      </a:glow>
      <a:outerShdw blurRad="25400" dist="50800" dir="5400000" sx="101000" sy="101000" algn="ctr" rotWithShape="0">
        <a:srgbClr val="C00000">
          <a:alpha val="14000"/>
        </a:srgbClr>
      </a:outerShdw>
      <a:softEdge rad="25400"/>
    </a:effectLst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r>
              <a:rPr lang="nl-BE" b="1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rPr>
              <a:t>Simulatie kapitaal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nl-BE"/>
        </a:p>
      </c:txPr>
    </c:title>
    <c:autoTitleDeleted val="0"/>
    <c:view3D>
      <c:rotX val="10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Totaal</c:v>
          </c:tx>
          <c:spPr>
            <a:solidFill>
              <a:srgbClr val="D91D57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4BEF-47B6-AA4D-33602F69268E}"/>
              </c:ext>
            </c:extLst>
          </c:dPt>
          <c:dLbls>
            <c:dLbl>
              <c:idx val="0"/>
              <c:layout>
                <c:manualLayout>
                  <c:x val="1.676933076967398E-2"/>
                  <c:y val="-3.8869261555443797E-2"/>
                </c:manualLayout>
              </c:layout>
              <c:tx>
                <c:rich>
                  <a:bodyPr/>
                  <a:lstStyle/>
                  <a:p>
                    <a:fld id="{44A7F2F5-CC00-4D16-A0B4-4D9531392607}" type="SERIESNAME">
                      <a:rPr lang="en-US"/>
                      <a:pPr/>
                      <a:t>[REEKSNAAM]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B3BE5F8D-8157-4F8C-91AC-569148A058D5}" type="VALUE">
                      <a:rPr lang="en-US" baseline="0"/>
                      <a:pPr/>
                      <a:t>[WAARDE]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4BEF-47B6-AA4D-33602F692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nl-BE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€ 1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'FIRE Calculator'!$E$16:$F$16</c15:sqref>
                  </c15:fullRef>
                </c:ext>
              </c:extLst>
              <c:f>'FIRE Calculator'!$E$16</c:f>
              <c:numCache>
                <c:formatCode>[$€-2]\ #,##0</c:formatCode>
                <c:ptCount val="1"/>
                <c:pt idx="0">
                  <c:v>38696.844624859841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F-47B6-AA4D-33602F69268E}"/>
            </c:ext>
          </c:extLst>
        </c:ser>
        <c:ser>
          <c:idx val="2"/>
          <c:order val="2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0818526507290928E-2"/>
                  <c:y val="-4.66431138665325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Geïnvesteerd</a:t>
                    </a:r>
                  </a:p>
                  <a:p>
                    <a:r>
                      <a:rPr lang="en-US" baseline="0"/>
                      <a:t> </a:t>
                    </a:r>
                    <a:fld id="{FCFA80C4-DAA3-46D9-96D1-8ADFE05E2615}" type="VALUE">
                      <a:rPr lang="en-US" baseline="0"/>
                      <a:pPr/>
                      <a:t>[WAARDE]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4BEF-47B6-AA4D-33602F692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nl-B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€ 1</c:v>
              </c:pt>
              <c:pt idx="1">
                <c:v>€ 2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'FIRE Calculator'!$AC$10</c15:sqref>
                  </c15:fullRef>
                </c:ext>
              </c:extLst>
              <c:f>'FIRE Calculator'!$AC$10</c:f>
              <c:numCache>
                <c:formatCode>[$€-2]\ #,##0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F-47B6-AA4D-33602F69268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extLst>
                <c:ext xmlns:c15="http://schemas.microsoft.com/office/drawing/2012/chart" uri="{02D57815-91ED-43cb-92C2-25804820EDAC}">
                  <c15:fullRef>
                    <c15:sqref>'FIRE Calculator'!$AC$12</c15:sqref>
                  </c15:fullRef>
                </c:ext>
              </c:extLst>
              <c:f>'FIRE Calculator'!$AC$12</c:f>
            </c:numRef>
          </c:val>
          <c:extLst>
            <c:ext xmlns:c16="http://schemas.microsoft.com/office/drawing/2014/chart" uri="{C3380CC4-5D6E-409C-BE32-E72D297353CC}">
              <c16:uniqueId val="{00000004-4BEF-47B6-AA4D-33602F69268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211312900481397E-2"/>
                  <c:y val="-4.4051829762836385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Meerwaarde</a:t>
                    </a:r>
                  </a:p>
                  <a:p>
                    <a:r>
                      <a:rPr lang="en-US" baseline="0"/>
                      <a:t> </a:t>
                    </a:r>
                    <a:fld id="{48776758-EAED-4A0E-8999-984C2E8AD789}" type="VALUE">
                      <a:rPr lang="en-US" baseline="0"/>
                      <a:pPr/>
                      <a:t>[WAARDE]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4BEF-47B6-AA4D-33602F692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nl-B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  <c:pt idx="1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'FIRE Calculator'!$AG$10</c15:sqref>
                  </c15:fullRef>
                </c:ext>
              </c:extLst>
              <c:f>'FIRE Calculator'!$AG$10</c:f>
              <c:numCache>
                <c:formatCode>#,##0\ "€"</c:formatCode>
                <c:ptCount val="1"/>
                <c:pt idx="0">
                  <c:v>28696.844624859841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EF-47B6-AA4D-33602F69268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extLst>
                <c:ext xmlns:c15="http://schemas.microsoft.com/office/drawing/2012/chart" uri="{02D57815-91ED-43cb-92C2-25804820EDAC}">
                  <c15:fullRef>
                    <c15:sqref>'FIRE Calculator'!$AG$12</c15:sqref>
                  </c15:fullRef>
                </c:ext>
              </c:extLst>
              <c:f>'FIRE Calculator'!$AG$12</c:f>
            </c:numRef>
          </c:val>
          <c:extLst>
            <c:ext xmlns:c16="http://schemas.microsoft.com/office/drawing/2014/chart" uri="{C3380CC4-5D6E-409C-BE32-E72D297353CC}">
              <c16:uniqueId val="{00000007-4BEF-47B6-AA4D-33602F692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7634480"/>
        <c:axId val="1157632080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'FIRE Calculator'!$E$17:$F$17</c15:sqref>
                        </c15:fullRef>
                        <c15:formulaRef>
                          <c15:sqref>'FIRE Calculator'!$E$17</c15:sqref>
                        </c15:formulaRef>
                      </c:ext>
                    </c:extLst>
                    <c:numCache>
                      <c:formatCode>[$€-2]\ #,##0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BEF-47B6-AA4D-33602F69268E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'FIRE Calculator'!$AC$11</c15:sqref>
                        </c15:fullRef>
                        <c15:formulaRef>
                          <c15:sqref>'FIRE Calculator'!$AC$11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BEF-47B6-AA4D-33602F69268E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'FIRE Calculator'!$AG$11</c15:sqref>
                        </c15:fullRef>
                        <c15:formulaRef>
                          <c15:sqref>'FIRE Calculator'!$AG$11</c15:sqref>
                        </c15:formulaRef>
                      </c:ext>
                    </c:extLst>
                    <c:numCache>
                      <c:formatCode>#,##0\ "€"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EF-47B6-AA4D-33602F69268E}"/>
                  </c:ext>
                </c:extLst>
              </c15:ser>
            </c15:filteredBarSeries>
          </c:ext>
        </c:extLst>
      </c:bar3DChart>
      <c:catAx>
        <c:axId val="115763448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157632080"/>
        <c:crosses val="autoZero"/>
        <c:auto val="1"/>
        <c:lblAlgn val="ctr"/>
        <c:lblOffset val="100"/>
        <c:noMultiLvlLbl val="0"/>
      </c:catAx>
      <c:valAx>
        <c:axId val="11576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nl-BE"/>
          </a:p>
        </c:txPr>
        <c:crossAx val="115763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EF2C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dist="50800" dir="54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9</xdr:col>
      <xdr:colOff>710711</xdr:colOff>
      <xdr:row>16</xdr:row>
      <xdr:rowOff>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A0A96989-4B37-B0E7-1F06-3C9EB5982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501894</xdr:colOff>
      <xdr:row>22</xdr:row>
      <xdr:rowOff>181709</xdr:rowOff>
    </xdr:from>
    <xdr:to>
      <xdr:col>10</xdr:col>
      <xdr:colOff>21981</xdr:colOff>
      <xdr:row>40</xdr:row>
      <xdr:rowOff>0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DD241EF4-0CD3-6DC2-A3E7-C73061C56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818281</xdr:colOff>
      <xdr:row>0</xdr:row>
      <xdr:rowOff>0</xdr:rowOff>
    </xdr:from>
    <xdr:to>
      <xdr:col>17</xdr:col>
      <xdr:colOff>17319</xdr:colOff>
      <xdr:row>23</xdr:row>
      <xdr:rowOff>164522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6B7217DD-10AE-FEF9-265C-91243C4E8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9F6C-EA57-4199-9FD9-37E100A3926A}">
  <sheetPr>
    <tabColor rgb="FF92D050"/>
    <outlinePr summaryBelow="0" summaryRight="0"/>
    <pageSetUpPr fitToPage="1"/>
  </sheetPr>
  <dimension ref="A1:AD61"/>
  <sheetViews>
    <sheetView tabSelected="1" zoomScale="130" zoomScaleNormal="130" workbookViewId="0">
      <selection activeCell="L10" sqref="L10"/>
    </sheetView>
  </sheetViews>
  <sheetFormatPr defaultColWidth="12.5703125" defaultRowHeight="15.75" customHeight="1" x14ac:dyDescent="0.25"/>
  <cols>
    <col min="1" max="1" width="42.5703125" style="4" customWidth="1"/>
    <col min="2" max="2" width="18.42578125" style="4" customWidth="1"/>
    <col min="3" max="3" width="11" style="4" customWidth="1"/>
    <col min="4" max="4" width="10.7109375" style="4" customWidth="1"/>
    <col min="5" max="5" width="7.7109375" style="4" customWidth="1"/>
    <col min="6" max="6" width="9.85546875" style="4" hidden="1" customWidth="1"/>
    <col min="7" max="7" width="49.42578125" style="4" bestFit="1" customWidth="1"/>
    <col min="8" max="8" width="18.140625" style="4" customWidth="1"/>
    <col min="9" max="9" width="12.7109375" style="4" customWidth="1"/>
    <col min="10" max="10" width="10.7109375" style="4" customWidth="1"/>
    <col min="11" max="11" width="4.85546875" style="4" bestFit="1" customWidth="1"/>
    <col min="12" max="12" width="13.42578125" style="46" bestFit="1" customWidth="1"/>
    <col min="13" max="13" width="11.140625" style="4" bestFit="1" customWidth="1"/>
    <col min="14" max="14" width="14" style="47" bestFit="1" customWidth="1"/>
    <col min="15" max="15" width="11.7109375" style="4" bestFit="1" customWidth="1"/>
    <col min="16" max="16" width="4.85546875" style="4" bestFit="1" customWidth="1"/>
    <col min="17" max="17" width="12.85546875" style="47" bestFit="1" customWidth="1"/>
    <col min="18" max="18" width="11.7109375" style="4" bestFit="1" customWidth="1"/>
    <col min="19" max="19" width="11.5703125" style="47" bestFit="1" customWidth="1"/>
    <col min="20" max="20" width="11.7109375" style="4" bestFit="1" customWidth="1"/>
    <col min="21" max="21" width="4.85546875" style="4" bestFit="1" customWidth="1"/>
    <col min="22" max="22" width="14" style="47" bestFit="1" customWidth="1"/>
    <col min="23" max="23" width="11.7109375" style="4" bestFit="1" customWidth="1"/>
    <col min="24" max="24" width="12.85546875" style="47" bestFit="1" customWidth="1"/>
    <col min="25" max="25" width="11.7109375" style="4" bestFit="1" customWidth="1"/>
    <col min="26" max="26" width="4.85546875" style="4" bestFit="1" customWidth="1"/>
    <col min="27" max="27" width="14" style="4" bestFit="1" customWidth="1"/>
    <col min="28" max="28" width="11.7109375" style="4" bestFit="1" customWidth="1"/>
    <col min="29" max="29" width="12.85546875" style="4" bestFit="1" customWidth="1"/>
    <col min="30" max="30" width="25.7109375" style="4" bestFit="1" customWidth="1"/>
    <col min="31" max="16384" width="12.5703125" style="4"/>
  </cols>
  <sheetData>
    <row r="1" spans="1:24" ht="20.100000000000001" customHeight="1" thickBot="1" x14ac:dyDescent="0.4">
      <c r="A1" s="139" t="s">
        <v>6</v>
      </c>
      <c r="B1" s="140"/>
      <c r="C1" s="59"/>
      <c r="D1" s="60"/>
      <c r="E1" s="48"/>
      <c r="F1" s="49"/>
      <c r="G1" s="33"/>
      <c r="H1" s="33"/>
      <c r="I1" s="33"/>
      <c r="J1" s="33"/>
      <c r="K1" s="50"/>
      <c r="L1" s="31"/>
      <c r="M1" s="30"/>
      <c r="N1" s="32"/>
      <c r="O1" s="33"/>
      <c r="P1" s="33"/>
      <c r="Q1" s="4"/>
      <c r="S1" s="4"/>
      <c r="V1" s="4"/>
      <c r="X1" s="4"/>
    </row>
    <row r="2" spans="1:24" ht="20.100000000000001" customHeight="1" thickBot="1" x14ac:dyDescent="0.4">
      <c r="A2" s="141" t="s">
        <v>10</v>
      </c>
      <c r="B2" s="142"/>
      <c r="C2" s="61"/>
      <c r="D2" s="62"/>
      <c r="E2" s="51"/>
      <c r="F2" s="49"/>
      <c r="G2" s="33"/>
      <c r="H2" s="33"/>
      <c r="I2" s="33"/>
      <c r="J2" s="33"/>
      <c r="K2" s="50"/>
      <c r="L2" s="31"/>
      <c r="M2" s="30"/>
      <c r="N2" s="32"/>
      <c r="O2" s="33"/>
      <c r="P2" s="33"/>
      <c r="Q2" s="4"/>
      <c r="S2" s="4"/>
      <c r="V2" s="4"/>
      <c r="X2" s="4"/>
    </row>
    <row r="3" spans="1:24" ht="20.100000000000001" customHeight="1" thickBot="1" x14ac:dyDescent="0.4">
      <c r="A3" s="63"/>
      <c r="B3" s="64"/>
      <c r="C3" s="61"/>
      <c r="D3" s="62"/>
      <c r="E3" s="48"/>
      <c r="F3" s="49"/>
      <c r="G3" s="33"/>
      <c r="H3" s="33"/>
      <c r="I3" s="33"/>
      <c r="J3" s="33"/>
      <c r="K3" s="50"/>
      <c r="L3" s="31"/>
      <c r="M3" s="30"/>
      <c r="N3" s="32"/>
      <c r="O3" s="33"/>
      <c r="P3" s="33"/>
      <c r="Q3" s="4"/>
      <c r="S3" s="4"/>
      <c r="V3" s="4"/>
      <c r="X3" s="4"/>
    </row>
    <row r="4" spans="1:24" ht="20.100000000000001" customHeight="1" thickTop="1" thickBot="1" x14ac:dyDescent="0.4">
      <c r="A4" s="65" t="s">
        <v>12</v>
      </c>
      <c r="B4" s="136">
        <v>250000</v>
      </c>
      <c r="C4" s="61"/>
      <c r="D4" s="62"/>
      <c r="E4" s="53"/>
      <c r="F4" s="49"/>
      <c r="G4" s="33"/>
      <c r="H4" s="33"/>
      <c r="I4" s="33"/>
      <c r="J4" s="33"/>
      <c r="K4" s="50"/>
      <c r="L4" s="31"/>
      <c r="M4" s="30"/>
      <c r="N4" s="32"/>
      <c r="O4" s="33"/>
      <c r="P4" s="33"/>
      <c r="Q4" s="4"/>
      <c r="S4" s="4"/>
      <c r="V4" s="4"/>
      <c r="X4" s="4"/>
    </row>
    <row r="5" spans="1:24" ht="20.100000000000001" customHeight="1" thickTop="1" thickBot="1" x14ac:dyDescent="0.4">
      <c r="A5" s="65" t="s">
        <v>13</v>
      </c>
      <c r="B5" s="137">
        <v>0.03</v>
      </c>
      <c r="C5" s="61"/>
      <c r="D5" s="62"/>
      <c r="E5" s="48"/>
      <c r="F5" s="49"/>
      <c r="G5" s="33"/>
      <c r="H5" s="33"/>
      <c r="I5" s="33"/>
      <c r="J5" s="33"/>
      <c r="K5" s="50"/>
      <c r="L5" s="31"/>
      <c r="M5" s="30"/>
      <c r="N5" s="32"/>
      <c r="O5" s="33"/>
      <c r="P5" s="33"/>
      <c r="Q5" s="4"/>
      <c r="S5" s="4"/>
      <c r="V5" s="4"/>
      <c r="X5" s="4"/>
    </row>
    <row r="6" spans="1:24" ht="20.100000000000001" customHeight="1" thickTop="1" thickBot="1" x14ac:dyDescent="0.4">
      <c r="A6" s="68" t="s">
        <v>14</v>
      </c>
      <c r="B6" s="138">
        <v>10</v>
      </c>
      <c r="C6" s="61"/>
      <c r="D6" s="62"/>
      <c r="E6" s="48"/>
      <c r="F6" s="49"/>
      <c r="G6" s="33"/>
      <c r="H6" s="33"/>
      <c r="I6" s="33"/>
      <c r="J6" s="33"/>
      <c r="K6" s="50"/>
      <c r="L6" s="31"/>
      <c r="M6" s="30"/>
      <c r="N6" s="32"/>
      <c r="O6" s="33"/>
      <c r="P6" s="33"/>
      <c r="Q6" s="4"/>
      <c r="S6" s="4"/>
      <c r="V6" s="4"/>
      <c r="X6" s="4"/>
    </row>
    <row r="7" spans="1:24" ht="20.100000000000001" customHeight="1" thickTop="1" x14ac:dyDescent="0.35">
      <c r="A7" s="70" t="s">
        <v>15</v>
      </c>
      <c r="B7" s="71">
        <f>(12*B6*B8)-B4</f>
        <v>39682.234095173189</v>
      </c>
      <c r="C7" s="61"/>
      <c r="D7" s="62"/>
      <c r="E7" s="48"/>
      <c r="F7" s="49"/>
      <c r="G7" s="33"/>
      <c r="H7" s="33"/>
      <c r="I7" s="33"/>
      <c r="J7" s="33"/>
      <c r="K7" s="50"/>
      <c r="L7" s="31"/>
      <c r="M7" s="30"/>
      <c r="N7" s="32"/>
      <c r="O7" s="33"/>
      <c r="P7" s="33"/>
      <c r="Q7" s="4"/>
      <c r="S7" s="4"/>
      <c r="V7" s="4"/>
      <c r="X7" s="4"/>
    </row>
    <row r="8" spans="1:24" ht="20.100000000000001" customHeight="1" x14ac:dyDescent="0.35">
      <c r="A8" s="70" t="s">
        <v>16</v>
      </c>
      <c r="B8" s="72">
        <f>B4 * (B5/12) * (1 + B5/12)^(B6*12) / ((1 + B5/12)^(B6*12) - 1)</f>
        <v>2414.0186174597766</v>
      </c>
      <c r="C8" s="61"/>
      <c r="D8" s="62"/>
      <c r="E8" s="48"/>
      <c r="F8" s="49"/>
      <c r="G8" s="33"/>
      <c r="H8" s="33"/>
      <c r="I8" s="33"/>
      <c r="J8" s="33"/>
      <c r="K8" s="50"/>
      <c r="L8" s="31"/>
      <c r="M8" s="30"/>
      <c r="N8" s="32"/>
      <c r="O8" s="33"/>
      <c r="P8" s="33"/>
      <c r="Q8" s="4"/>
      <c r="S8" s="4"/>
      <c r="V8" s="4"/>
      <c r="X8" s="4"/>
    </row>
    <row r="9" spans="1:24" ht="20.100000000000001" customHeight="1" thickBot="1" x14ac:dyDescent="0.4">
      <c r="A9" s="73"/>
      <c r="B9" s="74"/>
      <c r="C9" s="61"/>
      <c r="D9" s="62"/>
      <c r="E9" s="48"/>
      <c r="F9" s="49"/>
      <c r="G9" s="33"/>
      <c r="H9" s="33"/>
      <c r="I9" s="33"/>
      <c r="J9" s="33"/>
      <c r="K9" s="50"/>
      <c r="L9" s="31"/>
      <c r="M9" s="30"/>
      <c r="N9" s="32"/>
      <c r="O9" s="33"/>
      <c r="P9" s="33"/>
      <c r="Q9" s="4"/>
      <c r="S9" s="4"/>
      <c r="V9" s="4"/>
      <c r="X9" s="4"/>
    </row>
    <row r="10" spans="1:24" ht="20.100000000000001" customHeight="1" thickTop="1" thickBot="1" x14ac:dyDescent="0.4">
      <c r="A10" s="135" t="s">
        <v>19</v>
      </c>
      <c r="B10" s="137">
        <v>0.01</v>
      </c>
      <c r="C10" s="61"/>
      <c r="D10" s="75"/>
      <c r="E10" s="48"/>
      <c r="F10" s="49"/>
      <c r="G10" s="33"/>
      <c r="H10" s="33"/>
      <c r="I10" s="33"/>
      <c r="J10" s="33"/>
      <c r="K10" s="50"/>
      <c r="L10" s="31"/>
      <c r="M10" s="30"/>
      <c r="N10" s="32"/>
      <c r="O10" s="33"/>
      <c r="P10" s="33"/>
      <c r="Q10" s="4"/>
      <c r="S10" s="4"/>
      <c r="V10" s="4"/>
      <c r="X10" s="4"/>
    </row>
    <row r="11" spans="1:24" ht="20.100000000000001" customHeight="1" thickTop="1" thickBot="1" x14ac:dyDescent="0.4">
      <c r="A11" s="76"/>
      <c r="B11" s="61"/>
      <c r="C11" s="61"/>
      <c r="D11" s="75"/>
      <c r="E11" s="48"/>
      <c r="F11" s="49"/>
      <c r="G11" s="33"/>
      <c r="H11" s="33"/>
      <c r="I11" s="33"/>
      <c r="J11" s="33"/>
      <c r="K11" s="50"/>
      <c r="L11" s="31"/>
      <c r="M11" s="30"/>
      <c r="N11" s="32"/>
      <c r="O11" s="33"/>
      <c r="P11" s="33"/>
      <c r="Q11" s="4"/>
      <c r="S11" s="4"/>
      <c r="V11" s="4"/>
      <c r="X11" s="4"/>
    </row>
    <row r="12" spans="1:24" ht="20.100000000000001" customHeight="1" thickBot="1" x14ac:dyDescent="0.4">
      <c r="A12" s="77" t="s">
        <v>8</v>
      </c>
      <c r="B12" s="78">
        <f>B4</f>
        <v>250000</v>
      </c>
      <c r="C12" s="79" t="s">
        <v>9</v>
      </c>
      <c r="D12" s="80" t="s">
        <v>20</v>
      </c>
      <c r="E12" s="48"/>
      <c r="F12" s="49"/>
      <c r="G12" s="33"/>
      <c r="H12" s="33"/>
      <c r="I12" s="33"/>
      <c r="J12" s="33"/>
      <c r="K12" s="50"/>
      <c r="L12" s="31"/>
      <c r="M12" s="30"/>
      <c r="N12" s="32"/>
      <c r="O12" s="33"/>
      <c r="P12" s="33"/>
      <c r="Q12" s="4"/>
      <c r="S12" s="4"/>
      <c r="V12" s="4"/>
      <c r="X12" s="4"/>
    </row>
    <row r="13" spans="1:24" ht="20.100000000000001" customHeight="1" thickBot="1" x14ac:dyDescent="0.4">
      <c r="A13" s="81" t="s">
        <v>24</v>
      </c>
      <c r="B13" s="82">
        <f>(B4*(1-B10)) * (1 + 0.02)^B6</f>
        <v>301701.11894870241</v>
      </c>
      <c r="C13" s="83">
        <f>B13-B12</f>
        <v>51701.118948702409</v>
      </c>
      <c r="D13" s="84">
        <f>C13-B7</f>
        <v>12018.88485352922</v>
      </c>
      <c r="E13" s="54"/>
      <c r="F13" s="49"/>
      <c r="G13" s="33"/>
      <c r="H13" s="33"/>
      <c r="I13" s="33"/>
      <c r="J13" s="33"/>
      <c r="K13" s="50"/>
      <c r="L13" s="31"/>
      <c r="M13" s="30"/>
      <c r="N13" s="32"/>
      <c r="O13" s="33"/>
      <c r="P13" s="33"/>
      <c r="Q13" s="4"/>
      <c r="S13" s="4"/>
      <c r="V13" s="4"/>
      <c r="X13" s="4"/>
    </row>
    <row r="14" spans="1:24" ht="20.100000000000001" customHeight="1" thickBot="1" x14ac:dyDescent="0.4">
      <c r="A14" s="85" t="s">
        <v>25</v>
      </c>
      <c r="B14" s="86">
        <f>(B4*(1-B10)) * (1 + 0.05)^B6</f>
        <v>403151.42012741679</v>
      </c>
      <c r="C14" s="87">
        <f>B14-B12</f>
        <v>153151.42012741679</v>
      </c>
      <c r="D14" s="84">
        <f>C14-B7</f>
        <v>113469.1860322436</v>
      </c>
      <c r="E14" s="52"/>
      <c r="F14" s="49"/>
      <c r="G14" s="33"/>
      <c r="H14" s="33"/>
      <c r="I14" s="33"/>
      <c r="J14" s="33"/>
      <c r="K14" s="50"/>
      <c r="L14" s="31"/>
      <c r="M14" s="30"/>
      <c r="N14" s="32"/>
      <c r="O14" s="33"/>
      <c r="P14" s="33"/>
      <c r="Q14" s="4"/>
      <c r="S14" s="4"/>
      <c r="V14" s="4"/>
      <c r="X14" s="4"/>
    </row>
    <row r="15" spans="1:24" ht="20.100000000000001" customHeight="1" thickBot="1" x14ac:dyDescent="0.4">
      <c r="A15" s="88" t="s">
        <v>26</v>
      </c>
      <c r="B15" s="89">
        <f>(B4*(1-B10)) * (1 + 0.07)^B6</f>
        <v>486869.96092916746</v>
      </c>
      <c r="C15" s="90">
        <f>B15-B12</f>
        <v>236869.96092916746</v>
      </c>
      <c r="D15" s="91">
        <f>C15-B7</f>
        <v>197187.72683399427</v>
      </c>
      <c r="E15" s="52"/>
      <c r="F15" s="49"/>
      <c r="G15" s="33"/>
      <c r="H15" s="33"/>
      <c r="I15" s="33"/>
      <c r="J15" s="33"/>
      <c r="K15" s="50"/>
      <c r="L15" s="31"/>
      <c r="M15" s="30"/>
      <c r="N15" s="32"/>
      <c r="O15" s="33"/>
      <c r="P15" s="33"/>
      <c r="Q15" s="4"/>
      <c r="S15" s="4"/>
      <c r="V15" s="4"/>
      <c r="X15" s="4"/>
    </row>
    <row r="16" spans="1:24" ht="20.100000000000001" customHeight="1" thickBot="1" x14ac:dyDescent="0.4">
      <c r="A16" s="92"/>
      <c r="B16" s="93"/>
      <c r="C16" s="93"/>
      <c r="D16" s="94"/>
      <c r="E16" s="49"/>
      <c r="F16" s="49"/>
      <c r="G16" s="33"/>
      <c r="H16" s="33"/>
      <c r="I16" s="33"/>
      <c r="J16" s="33"/>
      <c r="K16" s="50"/>
      <c r="L16" s="31"/>
      <c r="M16" s="30"/>
      <c r="N16" s="32"/>
      <c r="O16" s="33"/>
      <c r="P16" s="33"/>
      <c r="Q16" s="4"/>
      <c r="S16" s="4"/>
      <c r="V16" s="4"/>
      <c r="X16" s="4"/>
    </row>
    <row r="17" spans="1:30" s="57" customFormat="1" ht="20.100000000000001" customHeight="1" x14ac:dyDescent="0.35">
      <c r="A17" s="58"/>
      <c r="B17" s="58"/>
      <c r="C17" s="58"/>
      <c r="D17" s="58"/>
      <c r="E17" s="49"/>
      <c r="F17" s="49"/>
      <c r="G17" s="33"/>
      <c r="H17" s="33"/>
      <c r="I17" s="33"/>
      <c r="J17" s="33"/>
      <c r="K17" s="50"/>
      <c r="L17" s="31"/>
      <c r="M17" s="30"/>
      <c r="N17" s="32"/>
      <c r="O17" s="33"/>
      <c r="P17" s="33"/>
    </row>
    <row r="18" spans="1:30" ht="20.100000000000001" customHeight="1" thickBot="1" x14ac:dyDescent="0.4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0"/>
      <c r="L18" s="31"/>
      <c r="M18" s="30"/>
      <c r="N18" s="32"/>
      <c r="O18" s="33"/>
      <c r="P18" s="33"/>
      <c r="Q18" s="4"/>
      <c r="S18" s="4"/>
      <c r="V18" s="4"/>
      <c r="X18" s="4"/>
    </row>
    <row r="19" spans="1:30" ht="14.1" customHeight="1" x14ac:dyDescent="0.35">
      <c r="A19" s="143" t="s">
        <v>22</v>
      </c>
      <c r="B19" s="144"/>
      <c r="C19" s="144"/>
      <c r="D19" s="144"/>
      <c r="E19" s="144"/>
      <c r="F19" s="144"/>
      <c r="G19" s="144"/>
      <c r="H19" s="144"/>
      <c r="I19" s="144"/>
      <c r="J19" s="145"/>
      <c r="K19" s="50"/>
      <c r="L19" s="31"/>
      <c r="M19" s="30"/>
      <c r="N19" s="32"/>
      <c r="O19" s="33"/>
      <c r="P19" s="33"/>
      <c r="Q19" s="4"/>
      <c r="S19" s="4"/>
      <c r="V19" s="4"/>
      <c r="X19" s="4"/>
    </row>
    <row r="20" spans="1:30" ht="15.75" customHeight="1" x14ac:dyDescent="0.3">
      <c r="A20" s="146"/>
      <c r="B20" s="147"/>
      <c r="C20" s="147"/>
      <c r="D20" s="147"/>
      <c r="E20" s="147"/>
      <c r="F20" s="147"/>
      <c r="G20" s="147"/>
      <c r="H20" s="147"/>
      <c r="I20" s="147"/>
      <c r="J20" s="148"/>
      <c r="K20" s="56"/>
      <c r="L20" s="35"/>
      <c r="M20" s="30"/>
      <c r="N20" s="32"/>
      <c r="O20" s="33"/>
      <c r="P20" s="33"/>
      <c r="Q20" s="4"/>
      <c r="S20" s="4"/>
      <c r="V20" s="4"/>
      <c r="X20" s="4"/>
    </row>
    <row r="21" spans="1:30" ht="15.75" customHeight="1" thickBot="1" x14ac:dyDescent="0.35">
      <c r="A21" s="149"/>
      <c r="B21" s="150"/>
      <c r="C21" s="150"/>
      <c r="D21" s="150"/>
      <c r="E21" s="150"/>
      <c r="F21" s="150"/>
      <c r="G21" s="150"/>
      <c r="H21" s="150"/>
      <c r="I21" s="150"/>
      <c r="J21" s="151"/>
      <c r="K21" s="56"/>
      <c r="L21" s="35"/>
      <c r="M21" s="30"/>
      <c r="N21" s="32"/>
      <c r="Q21" s="4"/>
      <c r="S21" s="4"/>
      <c r="V21" s="4"/>
      <c r="X21" s="4"/>
    </row>
    <row r="22" spans="1:30" s="57" customFormat="1" ht="20.100000000000001" customHeight="1" x14ac:dyDescent="0.3">
      <c r="A22" s="58"/>
      <c r="B22" s="58"/>
      <c r="C22" s="58"/>
      <c r="D22" s="58"/>
      <c r="E22" s="49"/>
      <c r="F22" s="49"/>
      <c r="G22" s="33"/>
      <c r="H22" s="33"/>
      <c r="I22" s="33"/>
      <c r="J22" s="33"/>
      <c r="K22" s="56"/>
      <c r="L22" s="35"/>
      <c r="M22" s="30"/>
      <c r="N22" s="32"/>
    </row>
    <row r="23" spans="1:30" ht="20.100000000000001" customHeight="1" thickBo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4"/>
      <c r="L23" s="35"/>
      <c r="M23" s="30"/>
      <c r="N23" s="32"/>
      <c r="O23" s="36"/>
      <c r="P23" s="37"/>
      <c r="Q23" s="29"/>
      <c r="R23" s="34"/>
      <c r="S23" s="37"/>
      <c r="T23" s="36"/>
      <c r="U23" s="37"/>
      <c r="V23" s="29"/>
      <c r="W23" s="34"/>
      <c r="X23" s="37"/>
      <c r="Y23" s="36"/>
      <c r="Z23" s="37"/>
      <c r="AA23" s="30"/>
      <c r="AB23" s="38"/>
      <c r="AC23" s="39"/>
      <c r="AD23" s="39"/>
    </row>
    <row r="24" spans="1:30" ht="20.100000000000001" customHeight="1" thickBot="1" x14ac:dyDescent="0.3">
      <c r="A24" s="139" t="s">
        <v>7</v>
      </c>
      <c r="B24" s="140"/>
      <c r="C24" s="59"/>
      <c r="D24" s="60"/>
      <c r="E24" s="33"/>
      <c r="F24" s="33"/>
      <c r="G24" s="33"/>
      <c r="H24" s="33"/>
      <c r="I24" s="33"/>
      <c r="J24" s="33"/>
      <c r="K24" s="31"/>
      <c r="L24" s="31"/>
      <c r="M24" s="41"/>
      <c r="N24" s="42"/>
      <c r="O24" s="43"/>
      <c r="P24" s="40"/>
      <c r="Q24" s="42"/>
      <c r="R24" s="41"/>
      <c r="S24" s="42"/>
      <c r="T24" s="43"/>
      <c r="U24" s="40"/>
      <c r="V24" s="42"/>
      <c r="W24" s="41"/>
      <c r="X24" s="42"/>
      <c r="Y24" s="33"/>
      <c r="Z24" s="44"/>
    </row>
    <row r="25" spans="1:30" ht="20.100000000000001" customHeight="1" thickBot="1" x14ac:dyDescent="0.3">
      <c r="A25" s="141" t="s">
        <v>11</v>
      </c>
      <c r="B25" s="142"/>
      <c r="C25" s="95"/>
      <c r="D25" s="62"/>
      <c r="E25" s="33"/>
      <c r="F25" s="33"/>
      <c r="G25" s="33"/>
      <c r="H25" s="33"/>
      <c r="I25" s="33"/>
      <c r="J25" s="33"/>
      <c r="K25" s="31"/>
      <c r="L25" s="35"/>
      <c r="M25" s="30"/>
      <c r="N25" s="32"/>
      <c r="O25" s="36"/>
      <c r="P25" s="37"/>
      <c r="Q25" s="42"/>
      <c r="R25" s="41"/>
      <c r="S25" s="42"/>
      <c r="T25" s="43"/>
      <c r="U25" s="40"/>
      <c r="V25" s="42"/>
      <c r="W25" s="41"/>
      <c r="X25" s="42"/>
      <c r="Y25" s="33"/>
      <c r="Z25" s="44"/>
    </row>
    <row r="26" spans="1:30" ht="20.100000000000001" customHeight="1" thickBot="1" x14ac:dyDescent="0.3">
      <c r="A26" s="63"/>
      <c r="B26" s="64"/>
      <c r="C26" s="74"/>
      <c r="D26" s="62"/>
      <c r="E26" s="33"/>
      <c r="F26" s="33"/>
      <c r="G26" s="33"/>
      <c r="H26" s="33"/>
      <c r="I26" s="33"/>
      <c r="J26" s="33"/>
      <c r="K26" s="31"/>
      <c r="L26" s="35"/>
      <c r="M26" s="30"/>
      <c r="N26" s="32"/>
      <c r="O26" s="36"/>
      <c r="P26" s="37"/>
      <c r="Q26" s="45"/>
      <c r="R26" s="33"/>
      <c r="S26" s="45"/>
      <c r="T26" s="33"/>
      <c r="U26" s="33"/>
      <c r="V26" s="45"/>
      <c r="W26" s="33"/>
      <c r="X26" s="45"/>
      <c r="Y26" s="33"/>
    </row>
    <row r="27" spans="1:30" ht="20.100000000000001" customHeight="1" thickBot="1" x14ac:dyDescent="0.3">
      <c r="A27" s="96" t="s">
        <v>12</v>
      </c>
      <c r="B27" s="66">
        <v>250000</v>
      </c>
      <c r="C27" s="95"/>
      <c r="D27" s="62"/>
      <c r="E27" s="33"/>
      <c r="F27" s="33"/>
      <c r="G27" s="33"/>
      <c r="H27" s="33"/>
      <c r="I27" s="33"/>
      <c r="J27" s="33"/>
      <c r="K27" s="31"/>
      <c r="L27" s="31"/>
      <c r="M27" s="41"/>
      <c r="N27" s="42"/>
      <c r="O27" s="43"/>
      <c r="P27" s="40"/>
    </row>
    <row r="28" spans="1:30" ht="20.100000000000001" customHeight="1" thickBot="1" x14ac:dyDescent="0.3">
      <c r="A28" s="96" t="s">
        <v>13</v>
      </c>
      <c r="B28" s="67">
        <v>3.2000000000000001E-2</v>
      </c>
      <c r="C28" s="61"/>
      <c r="D28" s="97"/>
      <c r="E28" s="33"/>
      <c r="F28" s="33"/>
      <c r="G28" s="33"/>
      <c r="H28" s="33"/>
      <c r="I28" s="33"/>
      <c r="J28" s="33"/>
      <c r="K28" s="31"/>
      <c r="L28" s="35"/>
      <c r="M28" s="30"/>
      <c r="N28" s="32"/>
      <c r="O28" s="36"/>
      <c r="P28" s="37"/>
    </row>
    <row r="29" spans="1:30" ht="20.100000000000001" customHeight="1" thickBot="1" x14ac:dyDescent="0.3">
      <c r="A29" s="96" t="s">
        <v>14</v>
      </c>
      <c r="B29" s="69">
        <v>10</v>
      </c>
      <c r="C29" s="61"/>
      <c r="D29" s="98"/>
      <c r="E29" s="33"/>
      <c r="F29" s="33"/>
      <c r="G29" s="33"/>
      <c r="H29" s="33"/>
      <c r="I29" s="33"/>
      <c r="J29" s="33"/>
      <c r="K29" s="31"/>
      <c r="L29" s="35"/>
      <c r="M29" s="30"/>
      <c r="N29" s="32"/>
      <c r="O29" s="36"/>
      <c r="P29" s="37"/>
    </row>
    <row r="30" spans="1:30" ht="20.100000000000001" customHeight="1" x14ac:dyDescent="0.25">
      <c r="A30" s="96" t="s">
        <v>15</v>
      </c>
      <c r="B30" s="99">
        <f>B31*12*B29</f>
        <v>80000</v>
      </c>
      <c r="C30" s="61"/>
      <c r="D30" s="100"/>
      <c r="E30" s="33"/>
      <c r="F30" s="33"/>
      <c r="G30" s="33"/>
      <c r="H30" s="33"/>
      <c r="I30" s="33"/>
      <c r="J30" s="33"/>
      <c r="K30" s="31"/>
      <c r="L30" s="31"/>
      <c r="M30" s="41"/>
      <c r="N30" s="42"/>
      <c r="O30" s="43"/>
      <c r="P30" s="40"/>
    </row>
    <row r="31" spans="1:30" ht="20.100000000000001" customHeight="1" x14ac:dyDescent="0.25">
      <c r="A31" s="96" t="s">
        <v>16</v>
      </c>
      <c r="B31" s="101">
        <f>(B27*B28)/12</f>
        <v>666.66666666666663</v>
      </c>
      <c r="C31" s="61"/>
      <c r="D31" s="102"/>
      <c r="E31" s="33"/>
      <c r="F31" s="33"/>
      <c r="G31" s="33"/>
      <c r="H31" s="33"/>
      <c r="I31" s="33"/>
      <c r="J31" s="33"/>
      <c r="K31" s="31"/>
      <c r="L31" s="35"/>
      <c r="M31" s="30"/>
      <c r="N31" s="32"/>
      <c r="O31" s="36"/>
      <c r="P31" s="37"/>
    </row>
    <row r="32" spans="1:30" ht="20.100000000000001" customHeight="1" x14ac:dyDescent="0.25">
      <c r="A32" s="96" t="s">
        <v>17</v>
      </c>
      <c r="B32" s="103">
        <f>B8-B31</f>
        <v>1747.3519507931101</v>
      </c>
      <c r="C32" s="61"/>
      <c r="D32" s="62"/>
      <c r="E32" s="33"/>
      <c r="F32" s="33"/>
      <c r="G32" s="33"/>
      <c r="H32" s="33"/>
      <c r="I32" s="33"/>
      <c r="J32" s="33"/>
      <c r="K32" s="31"/>
      <c r="L32" s="35"/>
      <c r="M32" s="30"/>
      <c r="N32" s="32"/>
      <c r="O32" s="36"/>
      <c r="P32" s="37"/>
    </row>
    <row r="33" spans="1:16" ht="20.100000000000001" customHeight="1" thickBot="1" x14ac:dyDescent="0.3">
      <c r="A33" s="104" t="s">
        <v>18</v>
      </c>
      <c r="B33" s="105">
        <f>(B32)*(B29*12)</f>
        <v>209682.23409517322</v>
      </c>
      <c r="C33" s="61"/>
      <c r="D33" s="62"/>
      <c r="E33" s="33"/>
      <c r="F33" s="33"/>
      <c r="G33" s="33"/>
      <c r="H33" s="33"/>
      <c r="I33" s="33"/>
      <c r="J33" s="33"/>
      <c r="K33" s="31"/>
      <c r="L33" s="31"/>
      <c r="M33" s="41"/>
      <c r="N33" s="42"/>
      <c r="O33" s="43"/>
      <c r="P33" s="40"/>
    </row>
    <row r="34" spans="1:16" ht="20.100000000000001" customHeight="1" thickBot="1" x14ac:dyDescent="0.3">
      <c r="A34" s="106" t="s">
        <v>19</v>
      </c>
      <c r="B34" s="67">
        <v>0.01</v>
      </c>
      <c r="C34" s="61"/>
      <c r="D34" s="62"/>
      <c r="E34" s="33"/>
      <c r="F34" s="33"/>
      <c r="G34" s="33"/>
      <c r="H34" s="33"/>
      <c r="I34" s="33"/>
      <c r="J34" s="33"/>
      <c r="K34" s="31"/>
      <c r="L34" s="35"/>
      <c r="M34" s="30"/>
      <c r="N34" s="32"/>
      <c r="O34" s="36"/>
      <c r="P34" s="37"/>
    </row>
    <row r="35" spans="1:16" ht="20.100000000000001" customHeight="1" thickBot="1" x14ac:dyDescent="0.3">
      <c r="A35" s="107"/>
      <c r="B35" s="108"/>
      <c r="C35" s="61"/>
      <c r="D35" s="62"/>
      <c r="E35" s="33"/>
      <c r="F35" s="33"/>
      <c r="G35" s="33"/>
      <c r="H35" s="33"/>
      <c r="I35" s="33"/>
      <c r="J35" s="33"/>
      <c r="K35" s="31"/>
      <c r="L35" s="35"/>
      <c r="M35" s="30"/>
      <c r="N35" s="32"/>
      <c r="O35" s="36"/>
      <c r="P35" s="37"/>
    </row>
    <row r="36" spans="1:16" ht="20.100000000000001" customHeight="1" thickBot="1" x14ac:dyDescent="0.3">
      <c r="A36" s="77" t="s">
        <v>21</v>
      </c>
      <c r="B36" s="78">
        <f>B27+B33</f>
        <v>459682.23409517319</v>
      </c>
      <c r="C36" s="109" t="s">
        <v>9</v>
      </c>
      <c r="D36" s="110" t="s">
        <v>20</v>
      </c>
      <c r="E36" s="33"/>
      <c r="F36" s="33"/>
      <c r="G36" s="33"/>
      <c r="H36" s="33"/>
      <c r="I36" s="33"/>
      <c r="J36" s="33"/>
      <c r="K36" s="31"/>
      <c r="L36" s="35"/>
      <c r="M36" s="30"/>
      <c r="N36" s="32"/>
      <c r="O36" s="36"/>
      <c r="P36" s="37"/>
    </row>
    <row r="37" spans="1:16" ht="20.100000000000001" customHeight="1" thickBot="1" x14ac:dyDescent="0.3">
      <c r="A37" s="111" t="s">
        <v>27</v>
      </c>
      <c r="B37" s="112">
        <f>((B27*(1-B34)*(1+0.02)^B6)+(B32*(((1+(0.02/12))^(B29*12)-1)/(0.02/12))))</f>
        <v>533609.07631310436</v>
      </c>
      <c r="C37" s="83">
        <f>B37-B36</f>
        <v>73926.842217931175</v>
      </c>
      <c r="D37" s="113">
        <f>C37-B30</f>
        <v>-6073.1577820688253</v>
      </c>
      <c r="E37" s="33"/>
      <c r="F37" s="33"/>
      <c r="G37" s="33"/>
      <c r="H37" s="33"/>
      <c r="I37" s="33"/>
      <c r="J37" s="33"/>
      <c r="K37" s="31"/>
      <c r="L37" s="35"/>
      <c r="M37" s="30"/>
      <c r="N37" s="32"/>
      <c r="O37" s="36"/>
      <c r="P37" s="37"/>
    </row>
    <row r="38" spans="1:16" ht="20.100000000000001" customHeight="1" thickBot="1" x14ac:dyDescent="0.3">
      <c r="A38" s="114" t="s">
        <v>28</v>
      </c>
      <c r="B38" s="115">
        <f>((B27*(1-B34)*(1+0.05)^B6)+(B32*(((1+(0.05/12))^(B29*12)-1)/(0.05/12))))</f>
        <v>674484.21404040675</v>
      </c>
      <c r="C38" s="83">
        <f>B38-B36</f>
        <v>214801.97994523356</v>
      </c>
      <c r="D38" s="116">
        <f>C38-B30</f>
        <v>134801.97994523356</v>
      </c>
      <c r="E38" s="33"/>
      <c r="F38" s="33"/>
      <c r="G38" s="33"/>
      <c r="H38" s="33"/>
      <c r="I38" s="33"/>
      <c r="J38" s="33"/>
      <c r="K38" s="31"/>
      <c r="L38" s="31"/>
      <c r="M38" s="41"/>
      <c r="N38" s="42"/>
      <c r="O38" s="43"/>
      <c r="P38" s="40"/>
    </row>
    <row r="39" spans="1:16" ht="20.100000000000001" customHeight="1" thickBot="1" x14ac:dyDescent="0.3">
      <c r="A39" s="117" t="s">
        <v>29</v>
      </c>
      <c r="B39" s="118">
        <f>((B27*(1-B34)*(1+0.07)^B6)+(B32*(((1+(0.07/12))^(B29*12)-1)/(0.07/12))))</f>
        <v>789310.03685080772</v>
      </c>
      <c r="C39" s="119">
        <f>B39-B36</f>
        <v>329627.80275563453</v>
      </c>
      <c r="D39" s="120">
        <f>C39-B30</f>
        <v>249627.80275563453</v>
      </c>
      <c r="E39" s="33"/>
      <c r="F39" s="33"/>
      <c r="G39" s="33"/>
      <c r="H39" s="33"/>
      <c r="I39" s="33"/>
      <c r="J39" s="33"/>
      <c r="K39" s="31"/>
      <c r="L39" s="35"/>
      <c r="M39" s="30"/>
      <c r="N39" s="32"/>
      <c r="O39" s="36"/>
      <c r="P39" s="37"/>
    </row>
    <row r="40" spans="1:16" ht="20.100000000000001" customHeight="1" thickBot="1" x14ac:dyDescent="0.3">
      <c r="A40" s="121"/>
      <c r="B40" s="122"/>
      <c r="C40" s="122"/>
      <c r="D40" s="123"/>
      <c r="E40" s="33"/>
      <c r="F40" s="33"/>
      <c r="G40" s="33"/>
      <c r="H40" s="33"/>
      <c r="I40" s="33"/>
      <c r="J40" s="33"/>
      <c r="K40" s="31"/>
      <c r="L40" s="31"/>
      <c r="M40" s="41"/>
      <c r="N40" s="42"/>
      <c r="O40" s="43"/>
      <c r="P40" s="40"/>
    </row>
    <row r="41" spans="1:16" ht="15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1"/>
      <c r="L41" s="35"/>
      <c r="M41" s="30"/>
      <c r="N41" s="32"/>
      <c r="O41" s="36"/>
      <c r="P41" s="37"/>
    </row>
    <row r="42" spans="1:16" ht="15.7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1"/>
      <c r="L42" s="35"/>
      <c r="M42" s="30"/>
      <c r="N42" s="32"/>
      <c r="O42" s="36"/>
      <c r="P42" s="37"/>
    </row>
    <row r="43" spans="1:16" ht="15.7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1"/>
      <c r="L43" s="31"/>
      <c r="M43" s="41"/>
      <c r="N43" s="42"/>
      <c r="O43" s="43"/>
      <c r="P43" s="40"/>
    </row>
    <row r="44" spans="1:16" ht="15.75" customHeigh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1"/>
      <c r="L44" s="35"/>
      <c r="M44" s="30"/>
      <c r="N44" s="32"/>
      <c r="O44" s="36"/>
      <c r="P44" s="37"/>
    </row>
    <row r="45" spans="1:16" ht="15.7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1"/>
      <c r="L45" s="35"/>
      <c r="M45" s="30"/>
      <c r="N45" s="32"/>
      <c r="O45" s="36"/>
      <c r="P45" s="37"/>
    </row>
    <row r="46" spans="1:16" ht="15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1"/>
      <c r="L46" s="31"/>
      <c r="M46" s="41"/>
      <c r="N46" s="42"/>
      <c r="O46" s="43"/>
      <c r="P46" s="40"/>
    </row>
    <row r="47" spans="1:16" ht="15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1"/>
      <c r="L47" s="35"/>
      <c r="M47" s="30"/>
      <c r="N47" s="32"/>
      <c r="O47" s="36"/>
      <c r="P47" s="37"/>
    </row>
    <row r="48" spans="1:16" ht="15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1"/>
      <c r="L48" s="35"/>
      <c r="M48" s="30"/>
      <c r="N48" s="32"/>
      <c r="O48" s="36"/>
      <c r="P48" s="37"/>
    </row>
    <row r="49" spans="1:16" ht="15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1"/>
      <c r="L49" s="31"/>
      <c r="M49" s="41"/>
      <c r="N49" s="42"/>
      <c r="O49" s="43"/>
      <c r="P49" s="40"/>
    </row>
    <row r="50" spans="1:16" ht="15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1"/>
      <c r="L50" s="35"/>
      <c r="M50" s="30"/>
      <c r="N50" s="32"/>
      <c r="O50" s="36"/>
      <c r="P50" s="37"/>
    </row>
    <row r="51" spans="1:16" ht="15.7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1"/>
      <c r="L51" s="35"/>
      <c r="M51" s="30"/>
      <c r="N51" s="32"/>
      <c r="O51" s="36"/>
      <c r="P51" s="37"/>
    </row>
    <row r="52" spans="1:16" ht="15.7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1"/>
      <c r="L52" s="31"/>
      <c r="M52" s="41"/>
      <c r="N52" s="42"/>
      <c r="O52" s="43"/>
      <c r="P52" s="40"/>
    </row>
    <row r="53" spans="1:16" ht="15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1"/>
      <c r="L53" s="35"/>
      <c r="M53" s="30"/>
      <c r="N53" s="32"/>
      <c r="O53" s="36"/>
      <c r="P53" s="37"/>
    </row>
    <row r="54" spans="1:16" ht="15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1"/>
      <c r="L54" s="35"/>
      <c r="M54" s="30"/>
      <c r="N54" s="32"/>
      <c r="O54" s="36"/>
      <c r="P54" s="37"/>
    </row>
    <row r="55" spans="1:16" ht="15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1"/>
      <c r="L55" s="31"/>
      <c r="M55" s="41"/>
      <c r="N55" s="42"/>
      <c r="O55" s="43"/>
      <c r="P55" s="40"/>
    </row>
    <row r="56" spans="1:16" ht="15.7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1"/>
      <c r="L56" s="35"/>
      <c r="M56" s="30"/>
      <c r="N56" s="32"/>
      <c r="O56" s="36"/>
      <c r="P56" s="37"/>
    </row>
    <row r="57" spans="1:16" ht="15.7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1"/>
      <c r="L57" s="35"/>
      <c r="M57" s="30"/>
      <c r="N57" s="32"/>
      <c r="O57" s="36"/>
      <c r="P57" s="37"/>
    </row>
    <row r="58" spans="1:16" ht="15.7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1"/>
      <c r="L58" s="31"/>
      <c r="M58" s="41"/>
      <c r="N58" s="42"/>
      <c r="O58" s="43"/>
      <c r="P58" s="40"/>
    </row>
    <row r="59" spans="1:16" ht="15.7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1"/>
      <c r="L59" s="35"/>
      <c r="M59" s="30"/>
      <c r="N59" s="32"/>
      <c r="O59" s="36"/>
      <c r="P59" s="37"/>
    </row>
    <row r="60" spans="1:16" ht="15.7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1"/>
      <c r="L60" s="35"/>
      <c r="M60" s="30"/>
      <c r="N60" s="32"/>
      <c r="O60" s="36"/>
      <c r="P60" s="37"/>
    </row>
    <row r="61" spans="1:16" ht="15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1"/>
      <c r="L61" s="31"/>
      <c r="M61" s="41"/>
      <c r="N61" s="42"/>
      <c r="O61" s="43"/>
      <c r="P61" s="40"/>
    </row>
  </sheetData>
  <dataConsolidate/>
  <mergeCells count="5">
    <mergeCell ref="A1:B1"/>
    <mergeCell ref="A24:B24"/>
    <mergeCell ref="A2:B2"/>
    <mergeCell ref="A25:B25"/>
    <mergeCell ref="A19:J21"/>
  </mergeCells>
  <conditionalFormatting sqref="D13:D1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D37:D39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6696-4381-4F8C-8C39-3F8B3CB35005}">
  <sheetPr>
    <tabColor rgb="FFCC0000"/>
    <outlinePr summaryBelow="0" summaryRight="0"/>
  </sheetPr>
  <dimension ref="A1:AG1007"/>
  <sheetViews>
    <sheetView showGridLines="0" zoomScale="110" zoomScaleNormal="110" workbookViewId="0">
      <selection activeCell="L28" sqref="L28"/>
    </sheetView>
  </sheetViews>
  <sheetFormatPr defaultColWidth="12.5703125" defaultRowHeight="15.75" customHeight="1" x14ac:dyDescent="0.25"/>
  <cols>
    <col min="1" max="1" width="3" style="4" customWidth="1"/>
    <col min="2" max="2" width="42.5703125" style="4" customWidth="1"/>
    <col min="3" max="4" width="12.5703125" style="4" customWidth="1"/>
    <col min="5" max="5" width="11.5703125" style="4" customWidth="1"/>
    <col min="6" max="6" width="16.5703125" style="4" customWidth="1"/>
    <col min="7" max="8" width="12.5703125" style="4" customWidth="1"/>
    <col min="9" max="10" width="12.5703125" style="4" hidden="1" customWidth="1"/>
    <col min="11" max="12" width="12.5703125" style="4"/>
    <col min="13" max="13" width="12.7109375" style="4" customWidth="1"/>
    <col min="14" max="16" width="15.140625" style="4" customWidth="1"/>
    <col min="17" max="17" width="12.7109375" style="4" customWidth="1"/>
    <col min="18" max="19" width="29.42578125" style="4" customWidth="1"/>
    <col min="20" max="16384" width="12.5703125" style="4"/>
  </cols>
  <sheetData>
    <row r="1" spans="1:33" ht="20.100000000000001" customHeight="1" thickTop="1" thickBot="1" x14ac:dyDescent="0.4">
      <c r="A1" s="1"/>
      <c r="B1" s="2"/>
      <c r="C1" s="2"/>
      <c r="D1" s="2"/>
      <c r="E1" s="2"/>
      <c r="F1" s="2"/>
      <c r="G1" s="125"/>
      <c r="H1" s="124"/>
      <c r="I1" s="3"/>
      <c r="J1" s="3"/>
      <c r="K1" s="15"/>
      <c r="L1" s="5"/>
      <c r="O1" s="15"/>
      <c r="P1" s="5"/>
      <c r="S1" s="5"/>
    </row>
    <row r="2" spans="1:33" ht="20.100000000000001" customHeight="1" thickBot="1" x14ac:dyDescent="0.4">
      <c r="A2" s="6"/>
      <c r="B2" s="171" t="s">
        <v>32</v>
      </c>
      <c r="C2" s="172"/>
      <c r="D2" s="172"/>
      <c r="E2" s="172"/>
      <c r="F2" s="173"/>
      <c r="G2" s="126"/>
      <c r="H2" s="124"/>
      <c r="I2" s="3"/>
      <c r="J2" s="3"/>
      <c r="K2" s="18"/>
      <c r="L2" s="5"/>
      <c r="O2" s="18"/>
      <c r="P2" s="5"/>
      <c r="S2" s="7"/>
    </row>
    <row r="3" spans="1:33" ht="20.100000000000001" customHeight="1" thickBot="1" x14ac:dyDescent="0.6">
      <c r="A3" s="6"/>
      <c r="B3" s="8"/>
      <c r="C3" s="8"/>
      <c r="D3" s="8"/>
      <c r="E3" s="8"/>
      <c r="F3" s="8"/>
      <c r="G3" s="126"/>
      <c r="H3" s="3"/>
      <c r="I3" s="3"/>
      <c r="J3" s="3"/>
      <c r="K3" s="18"/>
      <c r="L3" s="5"/>
      <c r="O3" s="18"/>
      <c r="P3" s="5"/>
      <c r="S3" s="7"/>
    </row>
    <row r="4" spans="1:33" ht="20.100000000000001" customHeight="1" thickTop="1" thickBot="1" x14ac:dyDescent="0.4">
      <c r="A4" s="9"/>
      <c r="B4" s="157" t="s">
        <v>8</v>
      </c>
      <c r="C4" s="12"/>
      <c r="D4" s="12"/>
      <c r="E4" s="132"/>
      <c r="F4" s="169">
        <v>10000</v>
      </c>
      <c r="G4" s="126"/>
      <c r="H4" s="11"/>
      <c r="I4" s="11"/>
      <c r="J4" s="11"/>
      <c r="K4" s="15"/>
      <c r="L4" s="19"/>
      <c r="O4" s="15"/>
      <c r="P4" s="19"/>
      <c r="S4" s="7"/>
    </row>
    <row r="5" spans="1:33" ht="20.100000000000001" customHeight="1" thickTop="1" thickBot="1" x14ac:dyDescent="0.4">
      <c r="A5" s="9"/>
      <c r="B5" s="166"/>
      <c r="C5" s="129"/>
      <c r="D5" s="13"/>
      <c r="E5" s="133"/>
      <c r="F5" s="170"/>
      <c r="G5" s="126"/>
      <c r="H5" s="11"/>
      <c r="I5" s="11"/>
      <c r="J5" s="11"/>
      <c r="L5" s="19"/>
      <c r="P5" s="19"/>
      <c r="S5" s="7"/>
    </row>
    <row r="6" spans="1:33" ht="20.100000000000001" hidden="1" customHeight="1" thickTop="1" thickBot="1" x14ac:dyDescent="0.4">
      <c r="A6" s="9"/>
      <c r="B6" s="3"/>
      <c r="C6" s="3"/>
      <c r="D6" s="3"/>
      <c r="E6" s="14"/>
      <c r="F6" s="14"/>
      <c r="G6" s="126"/>
      <c r="H6" s="11"/>
      <c r="I6" s="11"/>
      <c r="J6" s="11"/>
      <c r="L6" s="7"/>
      <c r="M6" s="19"/>
      <c r="P6" s="7"/>
      <c r="S6" s="10"/>
    </row>
    <row r="7" spans="1:33" ht="20.100000000000001" customHeight="1" thickTop="1" thickBot="1" x14ac:dyDescent="0.4">
      <c r="A7" s="9"/>
      <c r="B7" s="157" t="s">
        <v>0</v>
      </c>
      <c r="C7" s="12"/>
      <c r="D7" s="12"/>
      <c r="E7" s="132"/>
      <c r="F7" s="174">
        <v>7.0000000000000007E-2</v>
      </c>
      <c r="G7" s="126"/>
      <c r="H7" s="11"/>
      <c r="I7" s="11"/>
      <c r="J7" s="11"/>
      <c r="L7" s="19"/>
      <c r="M7" s="7"/>
      <c r="P7" s="7"/>
      <c r="S7" s="10"/>
    </row>
    <row r="8" spans="1:33" ht="20.100000000000001" customHeight="1" thickTop="1" thickBot="1" x14ac:dyDescent="0.4">
      <c r="A8" s="6"/>
      <c r="B8" s="166"/>
      <c r="C8" s="13"/>
      <c r="D8" s="13"/>
      <c r="E8" s="134"/>
      <c r="F8" s="175"/>
      <c r="G8" s="127"/>
      <c r="H8" s="11"/>
      <c r="I8" s="11"/>
      <c r="J8" s="11"/>
      <c r="L8" s="7"/>
      <c r="M8" s="7"/>
      <c r="P8" s="19"/>
      <c r="S8" s="7"/>
    </row>
    <row r="9" spans="1:33" s="57" customFormat="1" ht="20.100000000000001" hidden="1" customHeight="1" thickTop="1" thickBot="1" x14ac:dyDescent="0.4">
      <c r="A9" s="6"/>
      <c r="F9" s="19"/>
      <c r="G9" s="127"/>
      <c r="H9" s="11"/>
      <c r="I9" s="11"/>
      <c r="J9" s="11"/>
      <c r="L9" s="7"/>
      <c r="M9" s="7"/>
      <c r="P9" s="19"/>
      <c r="S9" s="7"/>
    </row>
    <row r="10" spans="1:33" s="57" customFormat="1" ht="20.100000000000001" customHeight="1" thickTop="1" thickBot="1" x14ac:dyDescent="0.4">
      <c r="A10" s="6"/>
      <c r="B10" s="157" t="s">
        <v>33</v>
      </c>
      <c r="C10" s="12"/>
      <c r="D10" s="12"/>
      <c r="E10" s="132"/>
      <c r="F10" s="167">
        <v>20</v>
      </c>
      <c r="G10" s="127"/>
      <c r="H10" s="11"/>
      <c r="I10" s="11"/>
      <c r="J10" s="11"/>
      <c r="L10" s="7"/>
      <c r="M10" s="7"/>
      <c r="P10" s="19"/>
      <c r="S10" s="7"/>
      <c r="AA10" s="152" t="s">
        <v>30</v>
      </c>
      <c r="AB10" s="152"/>
      <c r="AC10" s="153">
        <f>(F4)+(F10*F13*12)</f>
        <v>10000</v>
      </c>
      <c r="AD10" s="130"/>
      <c r="AE10" s="155" t="s">
        <v>31</v>
      </c>
      <c r="AF10" s="155"/>
      <c r="AG10" s="156">
        <f>(E16-AC10)</f>
        <v>28696.844624859841</v>
      </c>
    </row>
    <row r="11" spans="1:33" s="57" customFormat="1" ht="20.100000000000001" customHeight="1" thickTop="1" thickBot="1" x14ac:dyDescent="0.4">
      <c r="A11" s="6"/>
      <c r="B11" s="166"/>
      <c r="C11" s="13"/>
      <c r="D11" s="13"/>
      <c r="E11" s="134"/>
      <c r="F11" s="168"/>
      <c r="G11" s="127"/>
      <c r="H11" s="11"/>
      <c r="I11" s="11"/>
      <c r="J11" s="11"/>
      <c r="L11" s="7"/>
      <c r="M11" s="10"/>
      <c r="P11" s="19"/>
      <c r="S11" s="7"/>
      <c r="AA11" s="152"/>
      <c r="AB11" s="152"/>
      <c r="AC11" s="154"/>
      <c r="AD11" s="130"/>
      <c r="AE11" s="155"/>
      <c r="AF11" s="155"/>
      <c r="AG11" s="156"/>
    </row>
    <row r="12" spans="1:33" ht="20.100000000000001" hidden="1" customHeight="1" thickTop="1" thickBot="1" x14ac:dyDescent="0.4">
      <c r="A12" s="6"/>
      <c r="B12" s="3"/>
      <c r="C12" s="3"/>
      <c r="D12" s="3"/>
      <c r="E12" s="14"/>
      <c r="F12" s="14"/>
      <c r="G12" s="127"/>
      <c r="H12" s="3"/>
      <c r="I12" s="3"/>
      <c r="J12" s="3"/>
      <c r="L12" s="10"/>
      <c r="M12" s="10"/>
      <c r="P12" s="19"/>
      <c r="S12" s="7"/>
      <c r="AA12" s="152"/>
      <c r="AB12" s="152"/>
      <c r="AC12" s="154"/>
      <c r="AD12" s="131"/>
      <c r="AE12" s="155"/>
      <c r="AF12" s="155"/>
      <c r="AG12" s="156"/>
    </row>
    <row r="13" spans="1:33" ht="20.100000000000001" customHeight="1" thickTop="1" thickBot="1" x14ac:dyDescent="0.4">
      <c r="A13" s="6"/>
      <c r="B13" s="157" t="s">
        <v>1</v>
      </c>
      <c r="C13" s="12"/>
      <c r="D13" s="12"/>
      <c r="E13" s="132"/>
      <c r="F13" s="169">
        <v>0</v>
      </c>
      <c r="G13" s="127"/>
      <c r="H13" s="3"/>
      <c r="I13" s="3"/>
      <c r="J13" s="3"/>
      <c r="L13" s="10"/>
      <c r="M13" s="7"/>
      <c r="P13" s="7"/>
      <c r="S13" s="5"/>
    </row>
    <row r="14" spans="1:33" ht="20.100000000000001" customHeight="1" thickTop="1" thickBot="1" x14ac:dyDescent="0.4">
      <c r="A14" s="6"/>
      <c r="B14" s="166"/>
      <c r="C14" s="13"/>
      <c r="D14" s="13"/>
      <c r="E14" s="133"/>
      <c r="F14" s="170"/>
      <c r="G14" s="127"/>
      <c r="H14" s="3"/>
      <c r="I14" s="3"/>
      <c r="J14" s="3"/>
      <c r="L14" s="7"/>
      <c r="M14" s="7"/>
      <c r="P14" s="7"/>
      <c r="S14" s="5"/>
    </row>
    <row r="15" spans="1:33" ht="20.100000000000001" customHeight="1" thickTop="1" thickBot="1" x14ac:dyDescent="0.4">
      <c r="A15" s="6"/>
      <c r="B15" s="3"/>
      <c r="C15" s="3"/>
      <c r="D15" s="3"/>
      <c r="E15" s="14"/>
      <c r="F15" s="14"/>
      <c r="G15" s="126"/>
      <c r="H15" s="3"/>
      <c r="I15" s="3"/>
      <c r="J15" s="3"/>
      <c r="K15" s="18"/>
      <c r="L15" s="7"/>
      <c r="M15" s="10"/>
      <c r="O15" s="18"/>
      <c r="P15" s="7"/>
      <c r="S15" s="19"/>
    </row>
    <row r="16" spans="1:33" ht="20.100000000000001" customHeight="1" x14ac:dyDescent="0.35">
      <c r="A16" s="6"/>
      <c r="B16" s="157" t="s">
        <v>23</v>
      </c>
      <c r="C16" s="158"/>
      <c r="D16" s="158"/>
      <c r="E16" s="176">
        <f>F4 * (1 + (1 + F7)^(1/12) - 1) ^ (F10 * 12) + F13 * (((1 + (1 + F7)^(1/12) - 1) ^ (F10 * 12) - 1) / ((1 + F7)^(1/12) - 1))</f>
        <v>38696.844624859841</v>
      </c>
      <c r="F16" s="177"/>
      <c r="G16" s="127"/>
      <c r="H16" s="3"/>
      <c r="I16" s="3"/>
      <c r="J16" s="3"/>
      <c r="K16" s="18"/>
      <c r="L16" s="10"/>
      <c r="M16" s="10"/>
      <c r="O16" s="18"/>
      <c r="P16" s="7"/>
      <c r="S16" s="19"/>
    </row>
    <row r="17" spans="1:19" ht="20.100000000000001" customHeight="1" thickBot="1" x14ac:dyDescent="0.4">
      <c r="A17" s="6"/>
      <c r="B17" s="159"/>
      <c r="C17" s="160"/>
      <c r="D17" s="160"/>
      <c r="E17" s="178"/>
      <c r="F17" s="179"/>
      <c r="G17" s="127"/>
      <c r="H17" s="3"/>
      <c r="I17" s="3"/>
      <c r="J17" s="3"/>
      <c r="K17" s="15"/>
      <c r="L17" s="10"/>
      <c r="O17" s="15"/>
      <c r="P17" s="10"/>
      <c r="S17" s="7"/>
    </row>
    <row r="18" spans="1:19" ht="20.100000000000001" customHeight="1" x14ac:dyDescent="0.35">
      <c r="A18" s="6"/>
      <c r="B18" s="3"/>
      <c r="C18" s="3"/>
      <c r="D18" s="3"/>
      <c r="E18" s="14"/>
      <c r="F18" s="14"/>
      <c r="G18" s="127"/>
      <c r="H18" s="3"/>
      <c r="I18" s="3"/>
      <c r="J18" s="3"/>
      <c r="K18" s="18"/>
      <c r="L18" s="10"/>
      <c r="O18" s="18"/>
      <c r="P18" s="10"/>
      <c r="S18" s="7"/>
    </row>
    <row r="19" spans="1:19" ht="20.100000000000001" customHeight="1" x14ac:dyDescent="0.4">
      <c r="A19" s="6"/>
      <c r="B19" s="20" t="s">
        <v>2</v>
      </c>
      <c r="C19" s="21"/>
      <c r="D19" s="21"/>
      <c r="E19" s="22"/>
      <c r="F19" s="164">
        <f>SUM(((E16-G14-G18)*0.03/12*0.9868)+((G14+G18)*0.03/12))</f>
        <v>95.465115689529227</v>
      </c>
      <c r="G19" s="127"/>
      <c r="H19" s="3"/>
      <c r="I19" s="3"/>
      <c r="J19" s="3"/>
      <c r="L19" s="7"/>
      <c r="P19" s="7"/>
      <c r="S19" s="19"/>
    </row>
    <row r="20" spans="1:19" ht="20.100000000000001" customHeight="1" x14ac:dyDescent="0.35">
      <c r="A20" s="6"/>
      <c r="B20" s="23" t="s">
        <v>3</v>
      </c>
      <c r="C20" s="13"/>
      <c r="D20" s="13"/>
      <c r="E20" s="24"/>
      <c r="F20" s="165"/>
      <c r="G20" s="127"/>
      <c r="H20" s="3"/>
      <c r="I20" s="3"/>
      <c r="J20" s="3"/>
      <c r="K20" s="15"/>
      <c r="L20" s="7"/>
      <c r="O20" s="15"/>
      <c r="P20" s="7"/>
      <c r="S20" s="19"/>
    </row>
    <row r="21" spans="1:19" ht="20.100000000000001" customHeight="1" x14ac:dyDescent="0.25">
      <c r="A21" s="6"/>
      <c r="B21" s="3"/>
      <c r="C21" s="3"/>
      <c r="D21" s="3"/>
      <c r="E21" s="14"/>
      <c r="F21" s="14"/>
      <c r="G21" s="127"/>
      <c r="H21" s="3"/>
      <c r="I21" s="3"/>
      <c r="J21" s="3"/>
      <c r="K21" s="15"/>
      <c r="L21" s="10"/>
      <c r="O21" s="15"/>
      <c r="P21" s="10"/>
      <c r="S21" s="7"/>
    </row>
    <row r="22" spans="1:19" ht="20.100000000000001" customHeight="1" x14ac:dyDescent="0.4">
      <c r="A22" s="6"/>
      <c r="B22" s="20" t="s">
        <v>4</v>
      </c>
      <c r="C22" s="21"/>
      <c r="D22" s="21"/>
      <c r="E22" s="22"/>
      <c r="F22" s="164">
        <f>F19 / (1 + 0.02) ^ F10</f>
        <v>64.245286170897444</v>
      </c>
      <c r="G22" s="127"/>
      <c r="H22" s="3"/>
      <c r="I22" s="3"/>
      <c r="J22" s="3"/>
      <c r="K22" s="18"/>
      <c r="L22" s="10"/>
      <c r="O22" s="18"/>
      <c r="P22" s="10"/>
      <c r="S22" s="7"/>
    </row>
    <row r="23" spans="1:19" ht="20.100000000000001" customHeight="1" x14ac:dyDescent="0.35">
      <c r="A23" s="6"/>
      <c r="B23" s="25" t="s">
        <v>5</v>
      </c>
      <c r="C23" s="13"/>
      <c r="D23" s="13"/>
      <c r="E23" s="24"/>
      <c r="F23" s="165"/>
      <c r="G23" s="126"/>
      <c r="H23" s="3"/>
      <c r="I23" s="3"/>
      <c r="J23" s="3"/>
      <c r="K23" s="3"/>
      <c r="L23" s="7"/>
      <c r="O23" s="3"/>
      <c r="P23" s="7"/>
      <c r="S23" s="5"/>
    </row>
    <row r="24" spans="1:19" ht="20.100000000000001" customHeight="1" thickBot="1" x14ac:dyDescent="0.3">
      <c r="A24" s="26"/>
      <c r="B24" s="27"/>
      <c r="C24" s="27"/>
      <c r="D24" s="27"/>
      <c r="E24" s="27"/>
      <c r="F24" s="27"/>
      <c r="G24" s="128"/>
      <c r="H24" s="3"/>
      <c r="I24" s="3"/>
      <c r="J24" s="3"/>
      <c r="K24" s="3"/>
      <c r="L24" s="7"/>
      <c r="O24" s="3"/>
      <c r="P24" s="7"/>
      <c r="S24" s="5"/>
    </row>
    <row r="25" spans="1:19" ht="20.100000000000001" customHeight="1" thickTop="1" thickBot="1" x14ac:dyDescent="0.4">
      <c r="A25" s="57"/>
      <c r="B25" s="57"/>
      <c r="C25" s="57"/>
      <c r="D25" s="57"/>
      <c r="E25" s="57"/>
      <c r="F25" s="57"/>
      <c r="G25" s="57"/>
      <c r="H25" s="3"/>
      <c r="I25" s="3"/>
      <c r="J25" s="3"/>
      <c r="S25" s="5"/>
    </row>
    <row r="26" spans="1:19" ht="16.5" x14ac:dyDescent="0.35">
      <c r="A26" s="143" t="s">
        <v>22</v>
      </c>
      <c r="B26" s="144"/>
      <c r="C26" s="144"/>
      <c r="D26" s="144"/>
      <c r="E26" s="144"/>
      <c r="F26" s="144"/>
      <c r="G26" s="161"/>
      <c r="H26" s="3"/>
      <c r="I26" s="3"/>
      <c r="J26" s="3"/>
      <c r="R26" s="18"/>
      <c r="S26" s="7"/>
    </row>
    <row r="27" spans="1:19" ht="16.5" x14ac:dyDescent="0.35">
      <c r="A27" s="146"/>
      <c r="B27" s="147"/>
      <c r="C27" s="147"/>
      <c r="D27" s="147"/>
      <c r="E27" s="147"/>
      <c r="F27" s="147"/>
      <c r="G27" s="162"/>
      <c r="H27" s="3"/>
      <c r="I27" s="3"/>
      <c r="J27" s="3"/>
      <c r="R27" s="18"/>
      <c r="S27" s="7"/>
    </row>
    <row r="28" spans="1:19" ht="17.25" thickBot="1" x14ac:dyDescent="0.4">
      <c r="A28" s="149"/>
      <c r="B28" s="150"/>
      <c r="C28" s="150"/>
      <c r="D28" s="150"/>
      <c r="E28" s="150"/>
      <c r="F28" s="150"/>
      <c r="G28" s="163"/>
      <c r="H28" s="3"/>
      <c r="I28" s="3"/>
      <c r="J28" s="3"/>
      <c r="R28" s="15"/>
      <c r="S28" s="10"/>
    </row>
    <row r="29" spans="1:19" ht="16.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15"/>
      <c r="L29" s="15"/>
      <c r="M29" s="15"/>
      <c r="N29" s="15"/>
      <c r="O29" s="15"/>
      <c r="P29" s="15"/>
      <c r="Q29" s="15"/>
      <c r="R29" s="18"/>
      <c r="S29" s="10"/>
    </row>
    <row r="30" spans="1:19" ht="13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S30" s="7"/>
    </row>
    <row r="31" spans="1:19" ht="16.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15"/>
      <c r="L31" s="15"/>
      <c r="M31" s="15"/>
      <c r="N31" s="15"/>
      <c r="O31" s="15"/>
      <c r="P31" s="15"/>
      <c r="Q31" s="15"/>
      <c r="R31" s="15"/>
      <c r="S31" s="7"/>
    </row>
    <row r="32" spans="1:19" ht="16.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15"/>
      <c r="L32" s="15"/>
      <c r="M32" s="15"/>
      <c r="N32" s="15"/>
      <c r="O32" s="15"/>
      <c r="P32" s="15"/>
      <c r="Q32" s="15"/>
      <c r="R32" s="15"/>
      <c r="S32" s="10"/>
    </row>
    <row r="33" spans="1:19" ht="16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16"/>
      <c r="L33" s="15"/>
      <c r="M33" s="15"/>
      <c r="N33" s="17"/>
      <c r="O33" s="17"/>
      <c r="P33" s="17"/>
      <c r="Q33" s="18"/>
      <c r="R33" s="18"/>
      <c r="S33" s="10"/>
    </row>
    <row r="34" spans="1:19" ht="16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7"/>
    </row>
    <row r="35" spans="1:19" ht="16.5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7"/>
    </row>
    <row r="36" spans="1:19" ht="16.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15"/>
      <c r="L36" s="15"/>
      <c r="M36" s="15"/>
      <c r="N36" s="15"/>
      <c r="O36" s="15"/>
      <c r="P36" s="15"/>
      <c r="Q36" s="15"/>
      <c r="R36" s="15"/>
      <c r="S36" s="5"/>
    </row>
    <row r="37" spans="1:19" ht="16.5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16"/>
      <c r="L37" s="15"/>
      <c r="M37" s="15"/>
      <c r="N37" s="17"/>
      <c r="O37" s="17"/>
      <c r="P37" s="17"/>
      <c r="Q37" s="18"/>
      <c r="R37" s="18"/>
      <c r="S37" s="5"/>
    </row>
    <row r="38" spans="1:19" ht="16.5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16"/>
      <c r="L38" s="15"/>
      <c r="M38" s="15"/>
      <c r="N38" s="17"/>
      <c r="O38" s="17"/>
      <c r="P38" s="17"/>
      <c r="Q38" s="18"/>
      <c r="R38" s="18"/>
      <c r="S38" s="5"/>
    </row>
    <row r="39" spans="1:19" ht="16.5" x14ac:dyDescent="0.35">
      <c r="A39" s="28"/>
      <c r="B39" s="3"/>
      <c r="C39" s="3"/>
      <c r="D39" s="3"/>
      <c r="E39" s="3"/>
      <c r="F39" s="3"/>
      <c r="G39" s="3"/>
      <c r="H39" s="3"/>
      <c r="I39" s="3"/>
      <c r="J39" s="3"/>
      <c r="K39" s="15"/>
      <c r="L39" s="15"/>
      <c r="M39" s="15"/>
      <c r="N39" s="15"/>
      <c r="O39" s="15"/>
      <c r="P39" s="15"/>
      <c r="Q39" s="15"/>
      <c r="R39" s="15"/>
      <c r="S39" s="5"/>
    </row>
    <row r="40" spans="1:19" ht="16.5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16"/>
      <c r="L40" s="15"/>
      <c r="M40" s="15"/>
      <c r="N40" s="17"/>
      <c r="O40" s="17"/>
      <c r="P40" s="17"/>
      <c r="Q40" s="18"/>
      <c r="R40" s="18"/>
      <c r="S40" s="5"/>
    </row>
    <row r="41" spans="1:19" ht="16.5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</row>
    <row r="42" spans="1:19" ht="16.5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5"/>
    </row>
    <row r="43" spans="1:19" ht="16.5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15"/>
      <c r="L43" s="15"/>
      <c r="M43" s="15"/>
      <c r="N43" s="15"/>
      <c r="O43" s="15"/>
      <c r="P43" s="15"/>
      <c r="Q43" s="15"/>
      <c r="R43" s="15"/>
      <c r="S43" s="5"/>
    </row>
    <row r="44" spans="1:19" ht="16.5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16"/>
      <c r="L44" s="15"/>
      <c r="M44" s="15"/>
      <c r="N44" s="17"/>
      <c r="O44" s="17"/>
      <c r="P44" s="17"/>
      <c r="Q44" s="18"/>
      <c r="R44" s="18"/>
      <c r="S44" s="5"/>
    </row>
    <row r="45" spans="1:19" ht="16.5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16"/>
      <c r="L45" s="15"/>
      <c r="M45" s="15"/>
      <c r="N45" s="17"/>
      <c r="O45" s="17"/>
      <c r="P45" s="17"/>
      <c r="Q45" s="18"/>
      <c r="R45" s="18"/>
      <c r="S45" s="5"/>
    </row>
    <row r="46" spans="1:19" ht="16.5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15"/>
      <c r="L46" s="15"/>
      <c r="M46" s="15"/>
      <c r="N46" s="15"/>
      <c r="O46" s="15"/>
      <c r="P46" s="15"/>
      <c r="Q46" s="15"/>
      <c r="R46" s="15"/>
      <c r="S46" s="5"/>
    </row>
    <row r="47" spans="1:19" ht="16.5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15"/>
      <c r="L47" s="15"/>
      <c r="M47" s="15"/>
      <c r="N47" s="15"/>
      <c r="O47" s="15"/>
      <c r="P47" s="15"/>
      <c r="Q47" s="15"/>
      <c r="R47" s="18"/>
      <c r="S47" s="5"/>
    </row>
    <row r="48" spans="1:19" ht="16.5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S48" s="5"/>
    </row>
    <row r="49" spans="1:19" ht="16.5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15"/>
      <c r="L49" s="15"/>
      <c r="M49" s="15"/>
      <c r="N49" s="15"/>
      <c r="O49" s="15"/>
      <c r="P49" s="15"/>
      <c r="Q49" s="15"/>
      <c r="R49" s="15"/>
      <c r="S49" s="5"/>
    </row>
    <row r="50" spans="1:19" ht="16.5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</row>
    <row r="51" spans="1:19" ht="13.5" x14ac:dyDescent="0.25">
      <c r="A51" s="5"/>
      <c r="B51" s="5"/>
      <c r="L51" s="5"/>
      <c r="M51" s="5"/>
      <c r="N51" s="5"/>
      <c r="O51" s="5"/>
      <c r="P51" s="5"/>
      <c r="Q51" s="5"/>
      <c r="R51" s="5"/>
      <c r="S51" s="5"/>
    </row>
    <row r="52" spans="1:19" ht="13.5" x14ac:dyDescent="0.25">
      <c r="A52" s="5"/>
      <c r="B52" s="5"/>
      <c r="C52" s="5"/>
      <c r="D52" s="5"/>
      <c r="E52" s="5"/>
      <c r="F52" s="5"/>
      <c r="G52" s="5"/>
      <c r="L52" s="5"/>
      <c r="M52" s="5"/>
      <c r="N52" s="5"/>
      <c r="O52" s="5"/>
      <c r="P52" s="5"/>
      <c r="Q52" s="5"/>
      <c r="R52" s="5"/>
      <c r="S52" s="5"/>
    </row>
    <row r="53" spans="1:19" ht="13.5" x14ac:dyDescent="0.25">
      <c r="A53" s="5"/>
      <c r="B53" s="5"/>
      <c r="C53" s="5"/>
      <c r="D53" s="5"/>
      <c r="E53" s="5"/>
      <c r="F53" s="5"/>
      <c r="G53" s="5"/>
      <c r="L53" s="5"/>
      <c r="M53" s="5"/>
      <c r="N53" s="5"/>
      <c r="O53" s="5"/>
      <c r="P53" s="5"/>
      <c r="Q53" s="5"/>
      <c r="R53" s="5"/>
      <c r="S53" s="5"/>
    </row>
    <row r="54" spans="1:19" ht="13.5" x14ac:dyDescent="0.25">
      <c r="A54" s="5"/>
      <c r="B54" s="5"/>
      <c r="C54" s="5"/>
      <c r="D54" s="5"/>
      <c r="E54" s="5"/>
      <c r="F54" s="5"/>
      <c r="G54" s="5"/>
      <c r="L54" s="5"/>
      <c r="M54" s="5"/>
      <c r="N54" s="5"/>
      <c r="O54" s="5"/>
      <c r="P54" s="5"/>
      <c r="Q54" s="5"/>
      <c r="R54" s="5"/>
      <c r="S54" s="5"/>
    </row>
    <row r="55" spans="1:19" ht="13.5" x14ac:dyDescent="0.25">
      <c r="A55" s="5"/>
      <c r="B55" s="5"/>
      <c r="C55" s="5"/>
      <c r="D55" s="5"/>
      <c r="E55" s="5"/>
      <c r="F55" s="5"/>
      <c r="G55" s="5"/>
      <c r="L55" s="5"/>
      <c r="M55" s="5"/>
      <c r="N55" s="5"/>
      <c r="O55" s="5"/>
      <c r="P55" s="5"/>
      <c r="Q55" s="5"/>
      <c r="R55" s="5"/>
      <c r="S55" s="5"/>
    </row>
    <row r="56" spans="1:19" ht="13.5" x14ac:dyDescent="0.25">
      <c r="A56" s="5"/>
      <c r="B56" s="5"/>
      <c r="C56" s="5"/>
      <c r="D56" s="5"/>
      <c r="E56" s="5"/>
      <c r="F56" s="5"/>
      <c r="G56" s="5"/>
      <c r="L56" s="5"/>
      <c r="M56" s="5"/>
      <c r="N56" s="5"/>
      <c r="O56" s="5"/>
      <c r="P56" s="5"/>
      <c r="Q56" s="5"/>
      <c r="R56" s="5"/>
      <c r="S56" s="5"/>
    </row>
    <row r="57" spans="1:19" ht="13.5" x14ac:dyDescent="0.25">
      <c r="A57" s="5"/>
      <c r="B57" s="5"/>
      <c r="C57" s="5"/>
      <c r="D57" s="5"/>
      <c r="E57" s="5"/>
      <c r="F57" s="5"/>
      <c r="G57" s="5"/>
      <c r="L57" s="5"/>
      <c r="M57" s="5"/>
      <c r="N57" s="5"/>
      <c r="O57" s="5"/>
      <c r="P57" s="5"/>
      <c r="Q57" s="5"/>
      <c r="R57" s="5"/>
      <c r="S57" s="5"/>
    </row>
    <row r="58" spans="1:19" ht="13.5" x14ac:dyDescent="0.25">
      <c r="A58" s="5"/>
      <c r="B58" s="5"/>
      <c r="C58" s="5"/>
      <c r="D58" s="5"/>
      <c r="E58" s="5"/>
      <c r="F58" s="5"/>
      <c r="G58" s="5"/>
      <c r="L58" s="5"/>
      <c r="M58" s="5"/>
      <c r="N58" s="5"/>
      <c r="O58" s="5"/>
      <c r="P58" s="5"/>
      <c r="Q58" s="5"/>
      <c r="R58" s="5"/>
      <c r="S58" s="5"/>
    </row>
    <row r="59" spans="1:19" ht="13.5" x14ac:dyDescent="0.25">
      <c r="A59" s="5"/>
      <c r="B59" s="5"/>
      <c r="C59" s="5"/>
      <c r="D59" s="5"/>
      <c r="E59" s="5"/>
      <c r="F59" s="5"/>
      <c r="G59" s="5"/>
      <c r="L59" s="5"/>
      <c r="M59" s="5"/>
      <c r="N59" s="5"/>
      <c r="O59" s="5"/>
      <c r="P59" s="5"/>
      <c r="Q59" s="5"/>
      <c r="R59" s="5"/>
      <c r="S59" s="5"/>
    </row>
    <row r="60" spans="1:19" ht="13.5" x14ac:dyDescent="0.25">
      <c r="A60" s="5"/>
      <c r="B60" s="5"/>
      <c r="C60" s="5"/>
      <c r="D60" s="5"/>
      <c r="E60" s="5"/>
      <c r="F60" s="5"/>
      <c r="G60" s="5"/>
      <c r="L60" s="5"/>
      <c r="M60" s="5"/>
      <c r="N60" s="5"/>
      <c r="O60" s="5"/>
      <c r="P60" s="5"/>
      <c r="Q60" s="5"/>
      <c r="R60" s="5"/>
      <c r="S60" s="5"/>
    </row>
    <row r="61" spans="1:19" ht="13.5" x14ac:dyDescent="0.25">
      <c r="A61" s="5"/>
      <c r="B61" s="5"/>
      <c r="C61" s="5"/>
      <c r="D61" s="5"/>
      <c r="E61" s="5"/>
      <c r="F61" s="5"/>
      <c r="G61" s="5"/>
      <c r="L61" s="5"/>
      <c r="M61" s="5"/>
      <c r="N61" s="5"/>
      <c r="O61" s="5"/>
      <c r="P61" s="5"/>
      <c r="Q61" s="5"/>
      <c r="R61" s="5"/>
      <c r="S61" s="5"/>
    </row>
    <row r="62" spans="1:19" ht="13.5" x14ac:dyDescent="0.25">
      <c r="A62" s="5"/>
      <c r="B62" s="5"/>
      <c r="C62" s="5"/>
      <c r="D62" s="5"/>
      <c r="E62" s="5"/>
      <c r="F62" s="5"/>
      <c r="G62" s="5"/>
      <c r="L62" s="5"/>
      <c r="M62" s="5"/>
      <c r="N62" s="5"/>
      <c r="O62" s="5"/>
      <c r="P62" s="5"/>
      <c r="Q62" s="5"/>
      <c r="R62" s="5"/>
      <c r="S62" s="5"/>
    </row>
    <row r="63" spans="1:19" ht="13.5" x14ac:dyDescent="0.25">
      <c r="A63" s="5"/>
      <c r="B63" s="5"/>
      <c r="C63" s="5"/>
      <c r="D63" s="5"/>
      <c r="E63" s="5"/>
      <c r="F63" s="5"/>
      <c r="G63" s="5"/>
      <c r="L63" s="5"/>
      <c r="M63" s="5"/>
      <c r="N63" s="5"/>
      <c r="O63" s="5"/>
      <c r="P63" s="5"/>
      <c r="Q63" s="5"/>
      <c r="R63" s="5"/>
      <c r="S63" s="5"/>
    </row>
    <row r="64" spans="1:19" ht="13.5" x14ac:dyDescent="0.25">
      <c r="A64" s="5"/>
      <c r="B64" s="5"/>
      <c r="C64" s="5"/>
      <c r="D64" s="5"/>
      <c r="E64" s="5"/>
      <c r="F64" s="5"/>
      <c r="G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3.5" x14ac:dyDescent="0.25">
      <c r="A65" s="5"/>
      <c r="B65" s="5"/>
      <c r="C65" s="5"/>
      <c r="D65" s="5"/>
      <c r="E65" s="5"/>
      <c r="F65" s="5"/>
      <c r="G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3.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3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3.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3.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3.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3.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3.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3.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3.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3.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3.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3.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3.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3.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3.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3.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3.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3.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3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3.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3.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3.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3.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3.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3.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3.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3.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3.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3.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3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3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3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3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3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3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3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3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3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3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3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3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3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3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3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3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3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3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3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3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3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3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3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3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3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3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3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3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3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3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3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3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3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3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3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3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3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3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3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3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3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3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3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3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3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3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3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3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3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3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3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3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3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3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3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3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3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3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3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3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3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3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3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3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3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3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3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3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3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3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3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3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3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3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3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3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3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3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3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3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3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3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3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3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3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3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3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3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3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3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3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3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3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3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3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3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3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3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3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3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3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3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3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3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3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3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3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3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3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3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3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3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3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3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3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3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3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3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3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3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3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3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3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3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3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3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3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3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3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3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3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3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3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3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3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3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3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3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3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3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3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3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3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3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3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3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3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3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3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3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3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3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3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3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3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3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3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3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3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3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3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3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3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3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3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3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3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3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3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3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3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3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3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3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3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3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3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3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3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3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3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3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3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3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3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3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3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3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3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3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3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3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3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3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3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3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3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3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3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3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3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3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3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3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3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3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3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3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3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3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3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3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3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3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3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3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3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3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3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3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3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3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3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3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3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3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3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3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3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3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3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3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3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3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3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3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3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3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3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3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3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3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3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3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3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3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3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3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3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3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3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3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3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3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3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3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3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3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3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3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3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3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3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3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3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3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3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3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3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3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3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3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3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3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3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3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3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3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3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3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3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3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3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3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3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3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3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3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3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3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3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3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3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3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3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3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3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3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3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3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3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3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3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3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3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3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3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3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3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3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3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3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3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3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3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3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3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3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3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3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3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3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3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3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3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3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3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3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3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3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3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3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3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3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3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3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3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3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3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3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3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3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3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3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3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3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3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3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3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3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3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3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3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3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3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3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3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3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3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3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3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3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3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3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3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3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3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3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3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3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3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3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3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3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3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3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3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3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3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3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3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3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3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3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3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3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3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3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3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3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3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3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3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3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3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3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3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3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3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3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3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3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3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3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3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3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3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3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3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3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3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3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3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3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3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3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3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3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3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3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3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3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3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3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3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3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3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3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3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3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3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3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3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3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3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3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3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3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3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3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3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3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3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3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3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3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3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3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3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3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3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3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3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3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3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3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3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3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3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3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3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3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3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3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3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3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3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3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3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3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3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3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3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3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3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3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3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3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3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3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3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3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3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3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3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3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3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3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3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3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3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3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3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3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3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3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3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3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3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3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3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3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3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3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3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3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3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3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3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3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3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3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3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3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3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3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3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3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3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3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3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3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3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3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3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3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3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3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3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3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3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3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3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3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3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3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3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3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3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3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3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3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3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3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3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3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3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3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3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3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3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3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3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3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3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3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3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3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3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3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3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3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3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3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3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3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3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3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3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3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3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3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3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3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3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3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3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3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3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3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3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3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3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3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3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3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3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3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3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3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3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3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3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3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3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3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3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3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3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3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3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3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3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3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3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3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3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3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3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3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3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3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3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3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3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3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3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3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3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3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3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3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3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3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3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3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3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3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3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3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3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3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3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3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3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3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3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3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3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3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3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3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3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3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3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3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3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3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3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3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3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3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3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3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3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3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3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3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3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3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3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3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3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3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3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3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3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3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3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3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3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3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3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3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3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3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3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3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3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3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3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3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3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3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3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3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3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3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3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3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3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3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3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3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3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3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3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3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3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3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3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3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3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3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3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3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3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3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3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3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3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3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3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3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3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3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3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3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3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3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3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3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3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3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3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3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3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3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3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3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3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3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3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3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3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3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3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3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3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3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3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3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3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3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3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3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3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3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3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3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3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3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3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3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3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3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3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3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3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3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3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3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3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3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3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3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3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3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3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3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3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3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3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3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3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3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3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3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3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3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3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3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3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3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3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3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3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3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3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3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3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3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3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3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3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3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3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3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3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3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3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3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3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3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3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3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3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3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3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3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3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3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3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3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3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3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3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3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3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3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3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3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3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3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3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3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3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3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3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3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3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3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3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3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3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3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3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3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3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3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3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3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3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3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3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3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3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3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3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3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3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3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3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3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3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3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3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3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3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3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3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3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3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3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3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3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3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3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3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3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3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3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3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3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3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3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3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3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3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3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3.5" x14ac:dyDescent="0.25"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3.5" x14ac:dyDescent="0.25"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8:19" ht="13.5" x14ac:dyDescent="0.25"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8:19" ht="13.5" x14ac:dyDescent="0.25"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8:19" ht="13.5" x14ac:dyDescent="0.25"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8:19" ht="13.5" x14ac:dyDescent="0.25"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8:19" ht="13.5" x14ac:dyDescent="0.25"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8:19" ht="13.5" x14ac:dyDescent="0.25"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8:19" ht="13.5" x14ac:dyDescent="0.25"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8:19" ht="13.5" x14ac:dyDescent="0.25"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8:19" ht="13.5" x14ac:dyDescent="0.25"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8:19" ht="13.5" x14ac:dyDescent="0.25"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8:19" ht="13.5" x14ac:dyDescent="0.25"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8:19" ht="13.5" x14ac:dyDescent="0.25"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8:19" ht="13.5" x14ac:dyDescent="0.25"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8:19" ht="13.5" x14ac:dyDescent="0.25"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8:19" ht="13.5" x14ac:dyDescent="0.25"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8:19" ht="13.5" x14ac:dyDescent="0.25"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8:19" ht="13.5" x14ac:dyDescent="0.25"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spans="8:19" ht="13.5" x14ac:dyDescent="0.25"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spans="8:19" ht="13.5" x14ac:dyDescent="0.25"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spans="8:19" ht="13.5" x14ac:dyDescent="0.25"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spans="8:19" ht="13.5" x14ac:dyDescent="0.25"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spans="8:19" ht="13.5" x14ac:dyDescent="0.25"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spans="8:19" ht="13.5" x14ac:dyDescent="0.25"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spans="8:19" ht="13.5" x14ac:dyDescent="0.25"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 spans="8:19" ht="13.5" x14ac:dyDescent="0.25"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 spans="8:19" ht="13.5" x14ac:dyDescent="0.25"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 spans="8:19" ht="13.5" x14ac:dyDescent="0.25"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 spans="8:19" ht="13.5" x14ac:dyDescent="0.25"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 spans="8:19" ht="13.5" x14ac:dyDescent="0.25"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 spans="8:19" ht="13.5" x14ac:dyDescent="0.25"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 spans="8:19" ht="13.5" x14ac:dyDescent="0.25"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</sheetData>
  <mergeCells count="18">
    <mergeCell ref="B2:F2"/>
    <mergeCell ref="B4:B5"/>
    <mergeCell ref="F4:F5"/>
    <mergeCell ref="B7:B8"/>
    <mergeCell ref="F7:F8"/>
    <mergeCell ref="A26:G28"/>
    <mergeCell ref="F19:F20"/>
    <mergeCell ref="F22:F23"/>
    <mergeCell ref="B10:B11"/>
    <mergeCell ref="F10:F11"/>
    <mergeCell ref="B13:B14"/>
    <mergeCell ref="F13:F14"/>
    <mergeCell ref="AA10:AB12"/>
    <mergeCell ref="AC10:AC12"/>
    <mergeCell ref="AE10:AF12"/>
    <mergeCell ref="AG10:AG12"/>
    <mergeCell ref="B16:D17"/>
    <mergeCell ref="E16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Opportuniteitskost lenen</vt:lpstr>
      <vt:lpstr>FIRE Calculator</vt:lpstr>
    </vt:vector>
  </TitlesOfParts>
  <Company>Belfius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Stumpf (Retail Belfius)</dc:creator>
  <cp:lastModifiedBy>Vic Stumpf (Retail Belfius)</cp:lastModifiedBy>
  <dcterms:created xsi:type="dcterms:W3CDTF">2025-12-02T08:53:41Z</dcterms:created>
  <dcterms:modified xsi:type="dcterms:W3CDTF">2025-12-24T11:18:12Z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-1448457752</vt:i4>
  </property>
  <property fmtid="{D5CDD505-2E9C-101B-9397-08002B2CF9AE}" pid="3" name="_NewReviewCycle">
    <vt:lpwstr/>
  </property>
  <property fmtid="{D5CDD505-2E9C-101B-9397-08002B2CF9AE}" pid="4" name="_EmailSubject">
    <vt:lpwstr>Excel Tools</vt:lpwstr>
  </property>
  <property fmtid="{D5CDD505-2E9C-101B-9397-08002B2CF9AE}" pid="5" name="_AuthorEmail">
    <vt:lpwstr>Vic.Stumpf@belfius.be</vt:lpwstr>
  </property>
  <property fmtid="{D5CDD505-2E9C-101B-9397-08002B2CF9AE}" pid="6" name="_AuthorEmailDisplayName">
    <vt:lpwstr>Vic Stumpf (Retail Belfius)</vt:lpwstr>
  </property>
</Properties>
</file>